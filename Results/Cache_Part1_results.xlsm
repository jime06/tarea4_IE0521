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ebe94fce3ffd56c/Documentos/2024/I 2024/IE0521/Semana 14/Tarea 4/tarea4_IE0521/Results/"/>
    </mc:Choice>
  </mc:AlternateContent>
  <xr:revisionPtr revIDLastSave="153" documentId="8_{10E8171B-8D40-4FA3-AEBB-8C2744945AD6}" xr6:coauthVersionLast="47" xr6:coauthVersionMax="47" xr10:uidLastSave="{FDA7D59E-9A4A-4B49-B206-ACC8254DD2BC}"/>
  <bookViews>
    <workbookView xWindow="-108" yWindow="-108" windowWidth="23256" windowHeight="12456" firstSheet="1" activeTab="2" xr2:uid="{5AC39794-5E65-45BB-AA15-05857B6363A0}"/>
  </bookViews>
  <sheets>
    <sheet name="Cache_assoc_results" sheetId="1" r:id="rId1"/>
    <sheet name="Cache_block_results" sheetId="2" r:id="rId2"/>
    <sheet name="Cache_replacement_results" sheetId="3" r:id="rId3"/>
    <sheet name="Cache_size_result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9" i="3" l="1"/>
  <c r="B58" i="3"/>
  <c r="B143" i="4"/>
  <c r="B142" i="4"/>
  <c r="B141" i="4"/>
  <c r="B140" i="4"/>
  <c r="B139" i="4"/>
  <c r="B115" i="2"/>
  <c r="B114" i="2"/>
  <c r="B113" i="2"/>
  <c r="B112" i="2"/>
  <c r="B143" i="1"/>
  <c r="B142" i="1"/>
  <c r="B140" i="1"/>
  <c r="B139" i="1"/>
  <c r="B141" i="1"/>
  <c r="D110" i="2"/>
</calcChain>
</file>

<file path=xl/sharedStrings.xml><?xml version="1.0" encoding="utf-8"?>
<sst xmlns="http://schemas.openxmlformats.org/spreadsheetml/2006/main" count="509" uniqueCount="38">
  <si>
    <t>TRACE_FILE</t>
  </si>
  <si>
    <t>cache_assoc</t>
  </si>
  <si>
    <t>total_misses</t>
  </si>
  <si>
    <t>miss_rate</t>
  </si>
  <si>
    <t>400.perlbench-41B.trace.txt.gz</t>
  </si>
  <si>
    <t>401.bzip2-226B.trace.txt.gz</t>
  </si>
  <si>
    <t>403.gcc-16B.trace.txt.gz</t>
  </si>
  <si>
    <t>410.bwaves-1963B.trace.txt.gz</t>
  </si>
  <si>
    <t>416.gamess-875B.trace.txt.gz</t>
  </si>
  <si>
    <t>429.mcf-184B.trace.txt.gz</t>
  </si>
  <si>
    <t>433.milc-127B.trace.txt.gz</t>
  </si>
  <si>
    <t>435.gromacs-111B.trace.txt.gz</t>
  </si>
  <si>
    <t>436.cactusADM-1804B.trace.txt.gz</t>
  </si>
  <si>
    <t>437.leslie3d-134B.trace.txt.gz</t>
  </si>
  <si>
    <t>444.namd-120B.trace.txt.gz</t>
  </si>
  <si>
    <t>445.gobmk-17B.trace.txt.gz</t>
  </si>
  <si>
    <t>450.soplex-247B.trace.txt.gz</t>
  </si>
  <si>
    <t>453.povray-887B.trace.txt.gz</t>
  </si>
  <si>
    <t>454.calculix-104B.trace.txt.gz</t>
  </si>
  <si>
    <t>456.hmmer-191B.trace.txt.gz</t>
  </si>
  <si>
    <t>458.sjeng-1088B.trace.txt.gz</t>
  </si>
  <si>
    <t>459.GemsFDTD-1169B.trace.txt.gz</t>
  </si>
  <si>
    <t>462.libquantum-1343B.trace.txt.gz</t>
  </si>
  <si>
    <t>464.h264ref-30B.trace.txt.gz</t>
  </si>
  <si>
    <t>465.tonto-1769B.trace.txt.gz</t>
  </si>
  <si>
    <t>470.lbm-1274B.trace.txt.gz</t>
  </si>
  <si>
    <t>471.omnetpp-188B.trace.txt.gz</t>
  </si>
  <si>
    <t>473.astar-153B.trace.txt.gz</t>
  </si>
  <si>
    <t>481.wrf-1170B.trace.txt.gz</t>
  </si>
  <si>
    <t>482.sphinx3-1100B.trace.txt.gz</t>
  </si>
  <si>
    <t>483.xalancbmk-127B.trace.txt.gz</t>
  </si>
  <si>
    <t>block_size</t>
  </si>
  <si>
    <t>repl_policy</t>
  </si>
  <si>
    <t>l</t>
  </si>
  <si>
    <t>r</t>
  </si>
  <si>
    <t>cache_capacity</t>
  </si>
  <si>
    <t>miss rate promedio</t>
  </si>
  <si>
    <t>miss rate total promedio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</si>
</sst>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0"/>
      <color theme="1"/>
      <name val="Liberation Sans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b/>
      <sz val="18"/>
      <color rgb="FF000000"/>
      <name val="Liberation Sans"/>
    </font>
    <font>
      <b/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0">
    <xf numFmtId="0" fontId="0" fillId="0" borderId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6" fillId="7" borderId="0" applyNumberFormat="0" applyBorder="0" applyProtection="0"/>
    <xf numFmtId="0" fontId="4" fillId="5" borderId="0" applyNumberFormat="0" applyBorder="0" applyProtection="0"/>
    <xf numFmtId="0" fontId="11" fillId="8" borderId="0" applyNumberFormat="0" applyBorder="0" applyProtection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7" fillId="0" borderId="0" applyNumberFormat="0" applyFill="0" applyBorder="0" applyProtection="0"/>
    <xf numFmtId="0" fontId="10" fillId="0" borderId="0" applyNumberFormat="0" applyFill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8">
    <xf numFmtId="0" fontId="0" fillId="0" borderId="0" xfId="0"/>
    <xf numFmtId="0" fontId="1" fillId="0" borderId="0" xfId="11"/>
    <xf numFmtId="0" fontId="2" fillId="9" borderId="0" xfId="0" applyFont="1" applyFill="1"/>
    <xf numFmtId="0" fontId="0" fillId="9" borderId="0" xfId="0" applyFill="1"/>
    <xf numFmtId="0" fontId="1" fillId="10" borderId="0" xfId="11" applyFill="1"/>
    <xf numFmtId="0" fontId="2" fillId="0" borderId="0" xfId="0" applyFont="1" applyFill="1"/>
    <xf numFmtId="0" fontId="2" fillId="0" borderId="0" xfId="0" applyFont="1"/>
    <xf numFmtId="0" fontId="0" fillId="0" borderId="0" xfId="0" applyFill="1"/>
  </cellXfs>
  <cellStyles count="20">
    <cellStyle name="Accent" xfId="7" xr:uid="{EBE2AF50-CCFD-4194-AF1F-A656ACE1A130}"/>
    <cellStyle name="Accent 1" xfId="8" xr:uid="{BDDF2808-09BC-494B-BCF0-62A0332EC728}"/>
    <cellStyle name="Accent 2" xfId="9" xr:uid="{724F63CE-6708-4BBE-855A-2B065A06B561}"/>
    <cellStyle name="Accent 3" xfId="10" xr:uid="{9023F80B-6356-44C3-B7D2-0FECB0DA4450}"/>
    <cellStyle name="Bad" xfId="4" builtinId="27" customBuiltin="1"/>
    <cellStyle name="Default" xfId="11" xr:uid="{C49010AE-4B7D-4432-A11C-1F72A15550A1}"/>
    <cellStyle name="Error" xfId="12" xr:uid="{6C22CC71-3878-4E28-A070-199618FE581C}"/>
    <cellStyle name="Footnote" xfId="13" xr:uid="{569D625D-A660-4B75-850D-DB452D47EC0C}"/>
    <cellStyle name="Good" xfId="3" builtinId="26" customBuiltin="1"/>
    <cellStyle name="Heading" xfId="14" xr:uid="{A9637F87-D535-4F4B-9372-4274346D6F9C}"/>
    <cellStyle name="Heading 1" xfId="1" builtinId="16" customBuiltin="1"/>
    <cellStyle name="Heading 2" xfId="2" builtinId="17" customBuiltin="1"/>
    <cellStyle name="Hyperlink" xfId="15" xr:uid="{2258B79B-914B-4DFD-85FD-FF9A44451246}"/>
    <cellStyle name="Neutral" xfId="5" builtinId="28" customBuiltin="1"/>
    <cellStyle name="Normal" xfId="0" builtinId="0" customBuiltin="1"/>
    <cellStyle name="Note" xfId="6" builtinId="10" customBuiltin="1"/>
    <cellStyle name="Result" xfId="16" xr:uid="{8871B6FF-45DC-4F93-8B23-227748E3ED39}"/>
    <cellStyle name="Status" xfId="17" xr:uid="{B8E54B43-B632-41B7-80BF-F4415B8523D2}"/>
    <cellStyle name="Text" xfId="18" xr:uid="{99EB01D7-8ABB-424B-ADB1-E6D6525763C2}"/>
    <cellStyle name="Warning" xfId="19" xr:uid="{70E9EC4E-6D04-4958-B6A6-1765E4D0FB3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470.lbm-1274B.trace.txt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Cache_assoc_results!$C$107:$C$111</c:f>
              <c:numCache>
                <c:formatCode>General</c:formatCode>
                <c:ptCount val="5"/>
                <c:pt idx="0">
                  <c:v>45288</c:v>
                </c:pt>
                <c:pt idx="1">
                  <c:v>35867</c:v>
                </c:pt>
                <c:pt idx="2">
                  <c:v>36744</c:v>
                </c:pt>
                <c:pt idx="3">
                  <c:v>35867</c:v>
                </c:pt>
                <c:pt idx="4">
                  <c:v>35867</c:v>
                </c:pt>
              </c:numCache>
            </c:numRef>
          </c:xVal>
          <c:yVal>
            <c:numRef>
              <c:f>Cache_assoc_results!$D$107:$D$111</c:f>
              <c:numCache>
                <c:formatCode>General</c:formatCode>
                <c:ptCount val="5"/>
                <c:pt idx="0">
                  <c:v>4.5289999999999999</c:v>
                </c:pt>
                <c:pt idx="1">
                  <c:v>3.5870000000000002</c:v>
                </c:pt>
                <c:pt idx="2">
                  <c:v>3.6739999999999999</c:v>
                </c:pt>
                <c:pt idx="3">
                  <c:v>3.5870000000000002</c:v>
                </c:pt>
                <c:pt idx="4">
                  <c:v>3.5870000000000002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F6-463D-B76C-4C5F34280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8382767"/>
        <c:axId val="59064335"/>
      </c:scatterChart>
      <c:valAx>
        <c:axId val="1498382767"/>
        <c:scaling>
          <c:orientation val="minMax"/>
          <c:max val="46000"/>
          <c:min val="34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miss_rate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59064335"/>
        <c:crosses val="autoZero"/>
        <c:crossBetween val="midCat"/>
      </c:valAx>
      <c:valAx>
        <c:axId val="59064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 total_misses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98382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Media</a:t>
            </a:r>
            <a:r>
              <a:rPr lang="es-CR" baseline="0"/>
              <a:t> geométrica vs Asociatividad del caché</a:t>
            </a:r>
            <a:endParaRPr lang="es-C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Cache_assoc_results!$A$139:$A$143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numCache>
            </c:numRef>
          </c:xVal>
          <c:yVal>
            <c:numRef>
              <c:f>Cache_assoc_results!$B$139:$B$143</c:f>
              <c:numCache>
                <c:formatCode>General</c:formatCode>
                <c:ptCount val="5"/>
                <c:pt idx="0">
                  <c:v>2.0235077809955331</c:v>
                </c:pt>
                <c:pt idx="1">
                  <c:v>1.2543200689337188</c:v>
                </c:pt>
                <c:pt idx="2">
                  <c:v>10769.600392507018</c:v>
                </c:pt>
                <c:pt idx="3">
                  <c:v>0.90517355766277907</c:v>
                </c:pt>
                <c:pt idx="4">
                  <c:v>0.86818753996606268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FB-44FA-9B02-0D5AD9595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67951"/>
        <c:axId val="1498379887"/>
      </c:scatterChart>
      <c:valAx>
        <c:axId val="67267951"/>
        <c:scaling>
          <c:orientation val="minMax"/>
          <c:max val="1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Asociatividad</a:t>
                </a:r>
                <a:r>
                  <a:rPr lang="es-CR" baseline="0"/>
                  <a:t> del caché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98379887"/>
        <c:crosses val="autoZero"/>
        <c:crossBetween val="midCat"/>
      </c:valAx>
      <c:valAx>
        <c:axId val="149837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Media</a:t>
                </a:r>
                <a:r>
                  <a:rPr lang="es-CR" baseline="0"/>
                  <a:t> geométrica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7267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401.bzip2-226B.trace.txt.gz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Cache_block_results!$C$6:$C$9</c:f>
              <c:numCache>
                <c:formatCode>General</c:formatCode>
                <c:ptCount val="4"/>
                <c:pt idx="0">
                  <c:v>19963</c:v>
                </c:pt>
                <c:pt idx="1">
                  <c:v>9561</c:v>
                </c:pt>
                <c:pt idx="2">
                  <c:v>17694</c:v>
                </c:pt>
                <c:pt idx="3">
                  <c:v>18860</c:v>
                </c:pt>
              </c:numCache>
            </c:numRef>
          </c:xVal>
          <c:yVal>
            <c:numRef>
              <c:f>Cache_block_results!$D$6:$D$9</c:f>
              <c:numCache>
                <c:formatCode>General</c:formatCode>
                <c:ptCount val="4"/>
                <c:pt idx="0">
                  <c:v>1.996</c:v>
                </c:pt>
                <c:pt idx="1">
                  <c:v>0.95599999999999996</c:v>
                </c:pt>
                <c:pt idx="2">
                  <c:v>1.7689999999999999</c:v>
                </c:pt>
                <c:pt idx="3">
                  <c:v>1.8859999999999999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5E-4A69-801D-7D5148FC4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98175"/>
        <c:axId val="142316895"/>
      </c:scatterChart>
      <c:valAx>
        <c:axId val="142298175"/>
        <c:scaling>
          <c:orientation val="minMax"/>
          <c:max val="20000"/>
          <c:min val="9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total_misses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2316895"/>
        <c:crosses val="autoZero"/>
        <c:crossBetween val="midCat"/>
      </c:valAx>
      <c:valAx>
        <c:axId val="14231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miss_rate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22981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Miss</a:t>
            </a:r>
            <a:r>
              <a:rPr lang="es-CR" baseline="0"/>
              <a:t> rate total promedio</a:t>
            </a:r>
            <a:endParaRPr lang="es-C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Cache_block_results!$A$112:$A$115</c:f>
              <c:numCache>
                <c:formatCode>General</c:formatCode>
                <c:ptCount val="4"/>
                <c:pt idx="0">
                  <c:v>16</c:v>
                </c:pt>
                <c:pt idx="1">
                  <c:v>32</c:v>
                </c:pt>
                <c:pt idx="2">
                  <c:v>64</c:v>
                </c:pt>
                <c:pt idx="3">
                  <c:v>128</c:v>
                </c:pt>
              </c:numCache>
            </c:numRef>
          </c:xVal>
          <c:yVal>
            <c:numRef>
              <c:f>Cache_block_results!$B$112:$B$115</c:f>
              <c:numCache>
                <c:formatCode>General</c:formatCode>
                <c:ptCount val="4"/>
                <c:pt idx="0">
                  <c:v>1.9828907198443753</c:v>
                </c:pt>
                <c:pt idx="1">
                  <c:v>1.3067685985545543</c:v>
                </c:pt>
                <c:pt idx="2">
                  <c:v>0.90517355766277907</c:v>
                </c:pt>
                <c:pt idx="3">
                  <c:v>0.70780679325581486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88-4A5D-B2BB-F870C2080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26975"/>
        <c:axId val="67271311"/>
      </c:scatterChart>
      <c:valAx>
        <c:axId val="142326975"/>
        <c:scaling>
          <c:orientation val="minMax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Tamaño</a:t>
                </a:r>
                <a:r>
                  <a:rPr lang="es-CR" baseline="0"/>
                  <a:t> del bloque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7271311"/>
        <c:crosses val="autoZero"/>
        <c:crossBetween val="midCat"/>
      </c:valAx>
      <c:valAx>
        <c:axId val="6727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Miss rate total promedio</a:t>
                </a:r>
                <a:r>
                  <a:rPr lang="es-CR" baseline="0"/>
                  <a:t>  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2326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Política</a:t>
            </a:r>
            <a:r>
              <a:rPr lang="es-CR" baseline="0"/>
              <a:t> de reemplazo</a:t>
            </a:r>
            <a:endParaRPr lang="es-C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  <a:headEnd type="oval"/>
              <a:tailEnd type="oval"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Cache_replacement_results!$B$58:$B$59</c:f>
              <c:numCache>
                <c:formatCode>General</c:formatCode>
                <c:ptCount val="2"/>
                <c:pt idx="0">
                  <c:v>0.90517355766277907</c:v>
                </c:pt>
                <c:pt idx="1">
                  <c:v>1.0920231053976126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2A-44A2-90AC-4A461BBE614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498380367"/>
        <c:axId val="67266991"/>
      </c:lineChart>
      <c:catAx>
        <c:axId val="1498380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nota:</a:t>
                </a:r>
                <a:r>
                  <a:rPr lang="es-CR" baseline="0"/>
                  <a:t> 1 corresponde a la política LRU y 2 a la política de reemplazo aleatoria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7266991"/>
        <c:crosses val="autoZero"/>
        <c:auto val="1"/>
        <c:lblAlgn val="ctr"/>
        <c:lblOffset val="100"/>
        <c:noMultiLvlLbl val="0"/>
      </c:catAx>
      <c:valAx>
        <c:axId val="6726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Media</a:t>
                </a:r>
                <a:r>
                  <a:rPr lang="es-CR" baseline="0"/>
                  <a:t> geométrica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9838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465.tonto-1769B.trace.txt.gz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Cache_size_results!$C$32:$C$36</c:f>
              <c:numCache>
                <c:formatCode>General</c:formatCode>
                <c:ptCount val="5"/>
                <c:pt idx="0">
                  <c:v>28140</c:v>
                </c:pt>
                <c:pt idx="1">
                  <c:v>28139</c:v>
                </c:pt>
                <c:pt idx="2">
                  <c:v>28139</c:v>
                </c:pt>
                <c:pt idx="3">
                  <c:v>28139</c:v>
                </c:pt>
                <c:pt idx="4">
                  <c:v>28139</c:v>
                </c:pt>
              </c:numCache>
            </c:numRef>
          </c:xVal>
          <c:yVal>
            <c:numRef>
              <c:f>Cache_size_results!$D$32:$D$36</c:f>
              <c:numCache>
                <c:formatCode>General</c:formatCode>
                <c:ptCount val="5"/>
                <c:pt idx="0">
                  <c:v>2.8140000000000001</c:v>
                </c:pt>
                <c:pt idx="1">
                  <c:v>2.8140000000000001</c:v>
                </c:pt>
                <c:pt idx="2">
                  <c:v>2.8140000000000001</c:v>
                </c:pt>
                <c:pt idx="3">
                  <c:v>2.8140000000000001</c:v>
                </c:pt>
                <c:pt idx="4">
                  <c:v>2.8140000000000001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26-4CD2-BBF1-3374DDE92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13535"/>
        <c:axId val="142312095"/>
      </c:scatterChart>
      <c:valAx>
        <c:axId val="142313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total_misses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2312095"/>
        <c:crosses val="autoZero"/>
        <c:crossBetween val="midCat"/>
      </c:valAx>
      <c:valAx>
        <c:axId val="142312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 miss_rate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2313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Tamaño</a:t>
            </a:r>
            <a:r>
              <a:rPr lang="es-CR" baseline="0"/>
              <a:t> del $</a:t>
            </a:r>
            <a:endParaRPr lang="es-C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Cache_size_results!$A$139:$A$143</c:f>
              <c:numCache>
                <c:formatCode>General</c:formatCode>
                <c:ptCount val="5"/>
                <c:pt idx="0">
                  <c:v>8</c:v>
                </c:pt>
                <c:pt idx="1">
                  <c:v>16</c:v>
                </c:pt>
                <c:pt idx="2">
                  <c:v>32</c:v>
                </c:pt>
                <c:pt idx="3">
                  <c:v>64</c:v>
                </c:pt>
                <c:pt idx="4">
                  <c:v>128</c:v>
                </c:pt>
              </c:numCache>
            </c:numRef>
          </c:xVal>
          <c:yVal>
            <c:numRef>
              <c:f>Cache_size_results!$B$139:$B$143</c:f>
              <c:numCache>
                <c:formatCode>General</c:formatCode>
                <c:ptCount val="5"/>
                <c:pt idx="0">
                  <c:v>1.790425710503089</c:v>
                </c:pt>
                <c:pt idx="1">
                  <c:v>1.3460299985451158</c:v>
                </c:pt>
                <c:pt idx="2">
                  <c:v>0.90517355766277907</c:v>
                </c:pt>
                <c:pt idx="3">
                  <c:v>0.67097502969541967</c:v>
                </c:pt>
                <c:pt idx="4">
                  <c:v>0.52485533238221538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C-444A-B990-3294B2487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27455"/>
        <c:axId val="142326975"/>
      </c:scatterChart>
      <c:valAx>
        <c:axId val="14232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Tamaño</a:t>
                </a:r>
                <a:r>
                  <a:rPr lang="es-CR" baseline="0"/>
                  <a:t> del $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2326975"/>
        <c:crosses val="autoZero"/>
        <c:crossBetween val="midCat"/>
      </c:valAx>
      <c:valAx>
        <c:axId val="14232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Medi</a:t>
                </a:r>
                <a:r>
                  <a:rPr lang="es-CR" baseline="0"/>
                  <a:t>a geométrica</a:t>
                </a:r>
                <a:endParaRPr lang="es-C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232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586740</xdr:colOff>
      <xdr:row>91</xdr:row>
      <xdr:rowOff>3810</xdr:rowOff>
    </xdr:from>
    <xdr:to>
      <xdr:col>12</xdr:col>
      <xdr:colOff>281940</xdr:colOff>
      <xdr:row>107</xdr:row>
      <xdr:rowOff>64770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787A855-4770-41AC-AE80-4ABAA87FB2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563880</xdr:colOff>
      <xdr:row>109</xdr:row>
      <xdr:rowOff>34290</xdr:rowOff>
    </xdr:from>
    <xdr:to>
      <xdr:col>12</xdr:col>
      <xdr:colOff>259080</xdr:colOff>
      <xdr:row>125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6641F6D-6650-61EC-0117-D07F0F3346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106680</xdr:colOff>
      <xdr:row>3</xdr:row>
      <xdr:rowOff>80010</xdr:rowOff>
    </xdr:from>
    <xdr:to>
      <xdr:col>12</xdr:col>
      <xdr:colOff>411480</xdr:colOff>
      <xdr:row>19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878F62-9BC0-A37E-B5EC-A6F9608A0D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21</xdr:row>
      <xdr:rowOff>41910</xdr:rowOff>
    </xdr:from>
    <xdr:to>
      <xdr:col>12</xdr:col>
      <xdr:colOff>434340</xdr:colOff>
      <xdr:row>37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C86385-7C3D-382E-B748-C8B7AB3D96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4</xdr:row>
      <xdr:rowOff>3810</xdr:rowOff>
    </xdr:from>
    <xdr:to>
      <xdr:col>12</xdr:col>
      <xdr:colOff>312420</xdr:colOff>
      <xdr:row>20</xdr:row>
      <xdr:rowOff>64770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FD5182-9380-956F-8F38-2DD5942A48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19</xdr:row>
      <xdr:rowOff>156210</xdr:rowOff>
    </xdr:from>
    <xdr:to>
      <xdr:col>12</xdr:col>
      <xdr:colOff>304800</xdr:colOff>
      <xdr:row>36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CE02FE-D571-226A-DFDE-9432E66AE7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7620</xdr:colOff>
      <xdr:row>38</xdr:row>
      <xdr:rowOff>87630</xdr:rowOff>
    </xdr:from>
    <xdr:to>
      <xdr:col>12</xdr:col>
      <xdr:colOff>312420</xdr:colOff>
      <xdr:row>54</xdr:row>
      <xdr:rowOff>148590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99ADAB7-B1FC-CF4C-D132-DB44AA7231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D4EC9-2CCD-450A-931D-FF9A892578F3}">
  <dimension ref="A1:D143"/>
  <sheetViews>
    <sheetView topLeftCell="A130" workbookViewId="0">
      <selection activeCell="N114" sqref="N114"/>
    </sheetView>
  </sheetViews>
  <sheetFormatPr defaultRowHeight="13.2"/>
  <cols>
    <col min="1" max="1" width="30.109375" customWidth="1"/>
    <col min="2" max="2" width="12.6640625" customWidth="1"/>
    <col min="3" max="3" width="18" customWidth="1"/>
    <col min="4" max="4" width="9.77734375" customWidth="1"/>
  </cols>
  <sheetData>
    <row r="1" spans="1:4">
      <c r="A1" s="1" t="s">
        <v>0</v>
      </c>
      <c r="B1" s="1" t="s">
        <v>1</v>
      </c>
      <c r="C1" s="1" t="s">
        <v>2</v>
      </c>
      <c r="D1" s="1" t="s">
        <v>3</v>
      </c>
    </row>
    <row r="2" spans="1:4">
      <c r="A2" s="1" t="s">
        <v>4</v>
      </c>
      <c r="B2" s="1">
        <v>1</v>
      </c>
      <c r="C2" s="1">
        <v>12824</v>
      </c>
      <c r="D2" s="1">
        <v>1.282</v>
      </c>
    </row>
    <row r="3" spans="1:4">
      <c r="A3" s="1" t="s">
        <v>4</v>
      </c>
      <c r="B3" s="1">
        <v>16</v>
      </c>
      <c r="C3" s="1">
        <v>237</v>
      </c>
      <c r="D3" s="1">
        <v>2.4E-2</v>
      </c>
    </row>
    <row r="4" spans="1:4">
      <c r="A4" s="1" t="s">
        <v>4</v>
      </c>
      <c r="B4" s="1">
        <v>2</v>
      </c>
      <c r="C4" s="1">
        <v>878</v>
      </c>
      <c r="D4" s="1">
        <v>8.7999999999999995E-2</v>
      </c>
    </row>
    <row r="5" spans="1:4">
      <c r="A5" s="1" t="s">
        <v>4</v>
      </c>
      <c r="B5" s="1">
        <v>4</v>
      </c>
      <c r="C5" s="1">
        <v>297</v>
      </c>
      <c r="D5" s="1">
        <v>0.03</v>
      </c>
    </row>
    <row r="6" spans="1:4">
      <c r="A6" s="1" t="s">
        <v>4</v>
      </c>
      <c r="B6" s="1">
        <v>8</v>
      </c>
      <c r="C6" s="1">
        <v>235</v>
      </c>
      <c r="D6" s="1">
        <v>2.4E-2</v>
      </c>
    </row>
    <row r="7" spans="1:4">
      <c r="A7" s="1" t="s">
        <v>5</v>
      </c>
      <c r="B7" s="1">
        <v>1</v>
      </c>
      <c r="C7" s="1">
        <v>24342</v>
      </c>
      <c r="D7" s="1">
        <v>2.4340000000000002</v>
      </c>
    </row>
    <row r="8" spans="1:4">
      <c r="A8" s="1" t="s">
        <v>5</v>
      </c>
      <c r="B8" s="1">
        <v>16</v>
      </c>
      <c r="C8" s="1">
        <v>18662</v>
      </c>
      <c r="D8" s="1">
        <v>1.8660000000000001</v>
      </c>
    </row>
    <row r="9" spans="1:4">
      <c r="A9" s="1" t="s">
        <v>5</v>
      </c>
      <c r="B9" s="1">
        <v>2</v>
      </c>
      <c r="C9" s="1">
        <v>19591</v>
      </c>
      <c r="D9" s="1">
        <v>1.9590000000000001</v>
      </c>
    </row>
    <row r="10" spans="1:4">
      <c r="A10" s="1" t="s">
        <v>5</v>
      </c>
      <c r="B10" s="1">
        <v>4</v>
      </c>
      <c r="C10" s="1">
        <v>19086</v>
      </c>
      <c r="D10" s="1">
        <v>1.909</v>
      </c>
    </row>
    <row r="11" spans="1:4">
      <c r="A11" s="1" t="s">
        <v>5</v>
      </c>
      <c r="B11" s="1">
        <v>8</v>
      </c>
      <c r="C11" s="1">
        <v>18860</v>
      </c>
      <c r="D11" s="1">
        <v>1.8859999999999999</v>
      </c>
    </row>
    <row r="12" spans="1:4">
      <c r="A12" s="1" t="s">
        <v>6</v>
      </c>
      <c r="B12" s="1">
        <v>1</v>
      </c>
      <c r="C12" s="1">
        <v>86183</v>
      </c>
      <c r="D12" s="1">
        <v>8.6180000000000003</v>
      </c>
    </row>
    <row r="13" spans="1:4">
      <c r="A13" s="1" t="s">
        <v>6</v>
      </c>
      <c r="B13" s="1">
        <v>16</v>
      </c>
      <c r="C13" s="1">
        <v>21479</v>
      </c>
      <c r="D13" s="1">
        <v>2.1480000000000001</v>
      </c>
    </row>
    <row r="14" spans="1:4">
      <c r="A14" s="1" t="s">
        <v>6</v>
      </c>
      <c r="B14" s="1">
        <v>2</v>
      </c>
      <c r="C14" s="1">
        <v>24232</v>
      </c>
      <c r="D14" s="1">
        <v>2.423</v>
      </c>
    </row>
    <row r="15" spans="1:4">
      <c r="A15" s="1" t="s">
        <v>6</v>
      </c>
      <c r="B15" s="1">
        <v>4</v>
      </c>
      <c r="C15" s="1">
        <v>21681</v>
      </c>
      <c r="D15" s="1">
        <v>2.1680000000000001</v>
      </c>
    </row>
    <row r="16" spans="1:4">
      <c r="A16" s="1" t="s">
        <v>6</v>
      </c>
      <c r="B16" s="1">
        <v>8</v>
      </c>
      <c r="C16" s="1">
        <v>21639</v>
      </c>
      <c r="D16" s="1">
        <v>2.1640000000000001</v>
      </c>
    </row>
    <row r="17" spans="1:4">
      <c r="A17" s="1" t="s">
        <v>7</v>
      </c>
      <c r="B17" s="1">
        <v>1</v>
      </c>
      <c r="C17" s="1">
        <v>87220</v>
      </c>
      <c r="D17" s="1">
        <v>8.7219999999999995</v>
      </c>
    </row>
    <row r="18" spans="1:4">
      <c r="A18" s="1" t="s">
        <v>7</v>
      </c>
      <c r="B18" s="1">
        <v>16</v>
      </c>
      <c r="C18" s="1">
        <v>12023</v>
      </c>
      <c r="D18" s="1">
        <v>1.202</v>
      </c>
    </row>
    <row r="19" spans="1:4">
      <c r="A19" s="1" t="s">
        <v>7</v>
      </c>
      <c r="B19" s="1">
        <v>2</v>
      </c>
      <c r="C19" s="1">
        <v>84326</v>
      </c>
      <c r="D19" s="1">
        <v>8.4329999999999998</v>
      </c>
    </row>
    <row r="20" spans="1:4">
      <c r="A20" s="1" t="s">
        <v>7</v>
      </c>
      <c r="B20" s="1">
        <v>4</v>
      </c>
      <c r="C20" s="1">
        <v>85452</v>
      </c>
      <c r="D20" s="1">
        <v>8.5449999999999999</v>
      </c>
    </row>
    <row r="21" spans="1:4">
      <c r="A21" s="1" t="s">
        <v>7</v>
      </c>
      <c r="B21" s="1">
        <v>8</v>
      </c>
      <c r="C21" s="1">
        <v>16065</v>
      </c>
      <c r="D21" s="1">
        <v>1.607</v>
      </c>
    </row>
    <row r="22" spans="1:4">
      <c r="A22" s="1" t="s">
        <v>8</v>
      </c>
      <c r="B22" s="1">
        <v>1</v>
      </c>
      <c r="C22" s="1">
        <v>36143</v>
      </c>
      <c r="D22" s="1">
        <v>3.6139999999999999</v>
      </c>
    </row>
    <row r="23" spans="1:4">
      <c r="A23" s="1" t="s">
        <v>8</v>
      </c>
      <c r="B23" s="1">
        <v>16</v>
      </c>
      <c r="C23" s="1">
        <v>10149</v>
      </c>
      <c r="D23" s="1">
        <v>1.0149999999999999</v>
      </c>
    </row>
    <row r="24" spans="1:4">
      <c r="A24" s="1" t="s">
        <v>8</v>
      </c>
      <c r="B24" s="1">
        <v>2</v>
      </c>
      <c r="C24" s="1">
        <v>20316</v>
      </c>
      <c r="D24" s="1">
        <v>2.032</v>
      </c>
    </row>
    <row r="25" spans="1:4">
      <c r="A25" s="1" t="s">
        <v>8</v>
      </c>
      <c r="B25" s="1">
        <v>4</v>
      </c>
      <c r="C25" s="1">
        <v>14819</v>
      </c>
      <c r="D25" s="1">
        <v>1.482</v>
      </c>
    </row>
    <row r="26" spans="1:4">
      <c r="A26" s="1" t="s">
        <v>8</v>
      </c>
      <c r="B26" s="1">
        <v>8</v>
      </c>
      <c r="C26" s="1">
        <v>11729</v>
      </c>
      <c r="D26" s="1">
        <v>1.173</v>
      </c>
    </row>
    <row r="27" spans="1:4">
      <c r="A27" s="1" t="s">
        <v>9</v>
      </c>
      <c r="B27" s="1">
        <v>1</v>
      </c>
      <c r="C27" s="1">
        <v>108020</v>
      </c>
      <c r="D27" s="1">
        <v>10.802</v>
      </c>
    </row>
    <row r="28" spans="1:4">
      <c r="A28" s="1" t="s">
        <v>9</v>
      </c>
      <c r="B28" s="1">
        <v>16</v>
      </c>
      <c r="C28" s="1">
        <v>107586</v>
      </c>
      <c r="D28" s="1">
        <v>10.759</v>
      </c>
    </row>
    <row r="29" spans="1:4">
      <c r="A29" s="1" t="s">
        <v>9</v>
      </c>
      <c r="B29" s="1">
        <v>2</v>
      </c>
      <c r="C29" s="1">
        <v>106950</v>
      </c>
      <c r="D29" s="1">
        <v>10.695</v>
      </c>
    </row>
    <row r="30" spans="1:4">
      <c r="A30" s="1" t="s">
        <v>9</v>
      </c>
      <c r="B30" s="1">
        <v>4</v>
      </c>
      <c r="C30" s="1">
        <v>107141</v>
      </c>
      <c r="D30" s="1">
        <v>10.714</v>
      </c>
    </row>
    <row r="31" spans="1:4">
      <c r="A31" s="1" t="s">
        <v>9</v>
      </c>
      <c r="B31" s="1">
        <v>8</v>
      </c>
      <c r="C31" s="1">
        <v>107254</v>
      </c>
      <c r="D31" s="1">
        <v>10.725</v>
      </c>
    </row>
    <row r="32" spans="1:4">
      <c r="A32" s="1" t="s">
        <v>10</v>
      </c>
      <c r="B32" s="1">
        <v>1</v>
      </c>
      <c r="C32" s="1">
        <v>23826</v>
      </c>
      <c r="D32" s="1">
        <v>2.383</v>
      </c>
    </row>
    <row r="33" spans="1:4">
      <c r="A33" s="1" t="s">
        <v>10</v>
      </c>
      <c r="B33" s="1">
        <v>16</v>
      </c>
      <c r="C33" s="1">
        <v>22083</v>
      </c>
      <c r="D33" s="1">
        <v>2.2080000000000002</v>
      </c>
    </row>
    <row r="34" spans="1:4">
      <c r="A34" s="1" t="s">
        <v>10</v>
      </c>
      <c r="B34" s="1">
        <v>2</v>
      </c>
      <c r="C34" s="1">
        <v>22087</v>
      </c>
      <c r="D34" s="1">
        <v>2.2090000000000001</v>
      </c>
    </row>
    <row r="35" spans="1:4">
      <c r="A35" s="1" t="s">
        <v>10</v>
      </c>
      <c r="B35" s="1">
        <v>4</v>
      </c>
      <c r="C35" s="1">
        <v>22083</v>
      </c>
      <c r="D35" s="1">
        <v>2.2080000000000002</v>
      </c>
    </row>
    <row r="36" spans="1:4">
      <c r="A36" s="1" t="s">
        <v>10</v>
      </c>
      <c r="B36" s="1">
        <v>8</v>
      </c>
      <c r="C36" s="1">
        <v>22083</v>
      </c>
      <c r="D36" s="1">
        <v>2.2080000000000002</v>
      </c>
    </row>
    <row r="37" spans="1:4">
      <c r="A37" s="1" t="s">
        <v>11</v>
      </c>
      <c r="B37" s="1">
        <v>1</v>
      </c>
      <c r="C37" s="1">
        <v>5836</v>
      </c>
      <c r="D37" s="1">
        <v>0.58399999999999996</v>
      </c>
    </row>
    <row r="38" spans="1:4">
      <c r="A38" s="1" t="s">
        <v>11</v>
      </c>
      <c r="B38" s="1">
        <v>16</v>
      </c>
      <c r="C38" s="1">
        <v>4200</v>
      </c>
      <c r="D38" s="1">
        <v>0.42</v>
      </c>
    </row>
    <row r="39" spans="1:4">
      <c r="A39" s="1" t="s">
        <v>11</v>
      </c>
      <c r="B39" s="1">
        <v>2</v>
      </c>
      <c r="C39" s="1">
        <v>4606</v>
      </c>
      <c r="D39" s="1">
        <v>0.46100000000000002</v>
      </c>
    </row>
    <row r="40" spans="1:4">
      <c r="A40" s="1" t="s">
        <v>11</v>
      </c>
      <c r="B40" s="1">
        <v>4</v>
      </c>
      <c r="C40" s="1">
        <v>4301</v>
      </c>
      <c r="D40" s="1">
        <v>0.43</v>
      </c>
    </row>
    <row r="41" spans="1:4">
      <c r="A41" s="1" t="s">
        <v>11</v>
      </c>
      <c r="B41" s="1">
        <v>8</v>
      </c>
      <c r="C41" s="1">
        <v>4248</v>
      </c>
      <c r="D41" s="1">
        <v>0.42499999999999999</v>
      </c>
    </row>
    <row r="42" spans="1:4">
      <c r="A42" s="1" t="s">
        <v>12</v>
      </c>
      <c r="B42" s="1">
        <v>1</v>
      </c>
      <c r="C42" s="1">
        <v>57423</v>
      </c>
      <c r="D42" s="1">
        <v>5.742</v>
      </c>
    </row>
    <row r="43" spans="1:4">
      <c r="A43" s="1" t="s">
        <v>12</v>
      </c>
      <c r="B43" s="1">
        <v>16</v>
      </c>
      <c r="C43" s="1">
        <v>4205</v>
      </c>
      <c r="D43" s="1">
        <v>0.42</v>
      </c>
    </row>
    <row r="44" spans="1:4">
      <c r="A44" s="1" t="s">
        <v>12</v>
      </c>
      <c r="B44" s="1">
        <v>2</v>
      </c>
      <c r="C44" s="1">
        <v>12930</v>
      </c>
      <c r="D44" s="1">
        <v>1.2929999999999999</v>
      </c>
    </row>
    <row r="45" spans="1:4">
      <c r="A45" s="1" t="s">
        <v>12</v>
      </c>
      <c r="B45" s="1">
        <v>4</v>
      </c>
      <c r="C45" s="1">
        <v>11778</v>
      </c>
      <c r="D45" s="1">
        <v>1.1779999999999999</v>
      </c>
    </row>
    <row r="46" spans="1:4">
      <c r="A46" s="1" t="s">
        <v>12</v>
      </c>
      <c r="B46" s="1">
        <v>8</v>
      </c>
      <c r="C46" s="1">
        <v>4344</v>
      </c>
      <c r="D46" s="1">
        <v>0.434</v>
      </c>
    </row>
    <row r="47" spans="1:4">
      <c r="A47" s="1" t="s">
        <v>13</v>
      </c>
      <c r="B47" s="1">
        <v>1</v>
      </c>
      <c r="C47" s="1">
        <v>6676</v>
      </c>
      <c r="D47" s="1">
        <v>0.66800000000000004</v>
      </c>
    </row>
    <row r="48" spans="1:4">
      <c r="A48" s="1" t="s">
        <v>13</v>
      </c>
      <c r="B48" s="1">
        <v>16</v>
      </c>
      <c r="C48" s="1">
        <v>3968</v>
      </c>
      <c r="D48" s="1">
        <v>0.39700000000000002</v>
      </c>
    </row>
    <row r="49" spans="1:4">
      <c r="A49" s="1" t="s">
        <v>13</v>
      </c>
      <c r="B49" s="1">
        <v>2</v>
      </c>
      <c r="C49" s="1">
        <v>4692</v>
      </c>
      <c r="D49" s="1">
        <v>0.46899999999999997</v>
      </c>
    </row>
    <row r="50" spans="1:4">
      <c r="A50" s="1" t="s">
        <v>13</v>
      </c>
      <c r="B50" s="1">
        <v>4</v>
      </c>
      <c r="C50" s="1">
        <v>3968</v>
      </c>
      <c r="D50" s="1">
        <v>0.39700000000000002</v>
      </c>
    </row>
    <row r="51" spans="1:4">
      <c r="A51" s="1" t="s">
        <v>13</v>
      </c>
      <c r="B51" s="1">
        <v>8</v>
      </c>
      <c r="C51" s="1">
        <v>3968</v>
      </c>
      <c r="D51" s="1">
        <v>0.39700000000000002</v>
      </c>
    </row>
    <row r="52" spans="1:4">
      <c r="A52" s="1" t="s">
        <v>14</v>
      </c>
      <c r="B52" s="1">
        <v>1</v>
      </c>
      <c r="C52" s="1">
        <v>13666</v>
      </c>
      <c r="D52" s="1">
        <v>1.367</v>
      </c>
    </row>
    <row r="53" spans="1:4">
      <c r="A53" s="1" t="s">
        <v>14</v>
      </c>
      <c r="B53" s="1">
        <v>16</v>
      </c>
      <c r="C53" s="1">
        <v>3657</v>
      </c>
      <c r="D53" s="1">
        <v>0.36599999999999999</v>
      </c>
    </row>
    <row r="54" spans="1:4">
      <c r="A54" s="1" t="s">
        <v>14</v>
      </c>
      <c r="B54" s="1">
        <v>2</v>
      </c>
      <c r="C54" s="1">
        <v>7402</v>
      </c>
      <c r="D54" s="1">
        <v>0.74</v>
      </c>
    </row>
    <row r="55" spans="1:4">
      <c r="A55" s="1" t="s">
        <v>14</v>
      </c>
      <c r="B55" s="1">
        <v>4</v>
      </c>
      <c r="C55" s="1">
        <v>5561</v>
      </c>
      <c r="D55" s="1">
        <v>0.55600000000000005</v>
      </c>
    </row>
    <row r="56" spans="1:4">
      <c r="A56" s="1" t="s">
        <v>14</v>
      </c>
      <c r="B56" s="1">
        <v>8</v>
      </c>
      <c r="C56" s="1">
        <v>4368</v>
      </c>
      <c r="D56" s="1">
        <v>0.437</v>
      </c>
    </row>
    <row r="57" spans="1:4">
      <c r="A57" s="1" t="s">
        <v>15</v>
      </c>
      <c r="B57" s="1">
        <v>1</v>
      </c>
      <c r="C57" s="1">
        <v>33497</v>
      </c>
      <c r="D57" s="1">
        <v>3.35</v>
      </c>
    </row>
    <row r="58" spans="1:4">
      <c r="A58" s="1" t="s">
        <v>15</v>
      </c>
      <c r="B58" s="1">
        <v>16</v>
      </c>
      <c r="C58" s="1">
        <v>10592</v>
      </c>
      <c r="D58" s="1">
        <v>1.0589999999999999</v>
      </c>
    </row>
    <row r="59" spans="1:4">
      <c r="A59" s="1" t="s">
        <v>15</v>
      </c>
      <c r="B59" s="1">
        <v>2</v>
      </c>
      <c r="C59" s="1">
        <v>20133</v>
      </c>
      <c r="D59" s="1">
        <v>2.0129999999999999</v>
      </c>
    </row>
    <row r="60" spans="1:4">
      <c r="A60" s="1" t="s">
        <v>15</v>
      </c>
      <c r="B60" s="1">
        <v>4</v>
      </c>
      <c r="C60" s="1">
        <v>14747</v>
      </c>
      <c r="D60" s="1">
        <v>1.4750000000000001</v>
      </c>
    </row>
    <row r="61" spans="1:4">
      <c r="A61" s="1" t="s">
        <v>15</v>
      </c>
      <c r="B61" s="1">
        <v>8</v>
      </c>
      <c r="C61" s="1">
        <v>11407</v>
      </c>
      <c r="D61" s="1">
        <v>1.141</v>
      </c>
    </row>
    <row r="62" spans="1:4">
      <c r="A62" s="1" t="s">
        <v>16</v>
      </c>
      <c r="B62" s="1">
        <v>1</v>
      </c>
      <c r="C62" s="1">
        <v>73165</v>
      </c>
      <c r="D62" s="1">
        <v>7.3159999999999998</v>
      </c>
    </row>
    <row r="63" spans="1:4">
      <c r="A63" s="1" t="s">
        <v>16</v>
      </c>
      <c r="B63" s="1">
        <v>16</v>
      </c>
      <c r="C63" s="1">
        <v>67457</v>
      </c>
      <c r="D63" s="1">
        <v>6.7460000000000004</v>
      </c>
    </row>
    <row r="64" spans="1:4">
      <c r="A64" s="1" t="s">
        <v>16</v>
      </c>
      <c r="B64" s="1">
        <v>2</v>
      </c>
      <c r="C64" s="1">
        <v>70424</v>
      </c>
      <c r="D64" s="1">
        <v>7.0419999999999998</v>
      </c>
    </row>
    <row r="65" spans="1:4">
      <c r="A65" s="1" t="s">
        <v>16</v>
      </c>
      <c r="B65" s="1">
        <v>4</v>
      </c>
      <c r="C65" s="1">
        <v>67836</v>
      </c>
      <c r="D65" s="1">
        <v>6.7839999999999998</v>
      </c>
    </row>
    <row r="66" spans="1:4">
      <c r="A66" s="1" t="s">
        <v>16</v>
      </c>
      <c r="B66" s="1">
        <v>8</v>
      </c>
      <c r="C66" s="1">
        <v>67734</v>
      </c>
      <c r="D66" s="1">
        <v>6.7729999999999997</v>
      </c>
    </row>
    <row r="67" spans="1:4">
      <c r="A67" s="1" t="s">
        <v>17</v>
      </c>
      <c r="B67" s="1">
        <v>1</v>
      </c>
      <c r="C67" s="1">
        <v>31524</v>
      </c>
      <c r="D67" s="1">
        <v>3.1520000000000001</v>
      </c>
    </row>
    <row r="68" spans="1:4">
      <c r="A68" s="1" t="s">
        <v>17</v>
      </c>
      <c r="B68" s="1">
        <v>16</v>
      </c>
      <c r="C68" s="1">
        <v>25338</v>
      </c>
      <c r="D68" s="1">
        <v>2.5339999999999998</v>
      </c>
    </row>
    <row r="69" spans="1:4">
      <c r="A69" s="1" t="s">
        <v>17</v>
      </c>
      <c r="B69" s="1">
        <v>2</v>
      </c>
      <c r="C69" s="1">
        <v>26293</v>
      </c>
      <c r="D69" s="1">
        <v>2.629</v>
      </c>
    </row>
    <row r="70" spans="1:4">
      <c r="A70" s="1" t="s">
        <v>17</v>
      </c>
      <c r="B70" s="1">
        <v>4</v>
      </c>
      <c r="C70" s="1">
        <v>24832</v>
      </c>
      <c r="D70" s="1">
        <v>2.4830000000000001</v>
      </c>
    </row>
    <row r="71" spans="1:4">
      <c r="A71" s="1" t="s">
        <v>17</v>
      </c>
      <c r="B71" s="1">
        <v>8</v>
      </c>
      <c r="C71" s="1">
        <v>25001</v>
      </c>
      <c r="D71" s="1">
        <v>2.5</v>
      </c>
    </row>
    <row r="72" spans="1:4">
      <c r="A72" s="1" t="s">
        <v>18</v>
      </c>
      <c r="B72" s="1">
        <v>1</v>
      </c>
      <c r="C72" s="1">
        <v>483</v>
      </c>
      <c r="D72" s="1">
        <v>4.8000000000000001E-2</v>
      </c>
    </row>
    <row r="73" spans="1:4">
      <c r="A73" s="1" t="s">
        <v>18</v>
      </c>
      <c r="B73" s="1">
        <v>16</v>
      </c>
      <c r="C73" s="1">
        <v>420</v>
      </c>
      <c r="D73" s="1">
        <v>4.2000000000000003E-2</v>
      </c>
    </row>
    <row r="74" spans="1:4">
      <c r="A74" s="1" t="s">
        <v>18</v>
      </c>
      <c r="B74" s="1">
        <v>2</v>
      </c>
      <c r="C74" s="1">
        <v>440</v>
      </c>
      <c r="D74" s="1">
        <v>4.3999999999999997E-2</v>
      </c>
    </row>
    <row r="75" spans="1:4">
      <c r="A75" s="1" t="s">
        <v>18</v>
      </c>
      <c r="B75" s="1">
        <v>4</v>
      </c>
      <c r="C75" s="1">
        <v>420</v>
      </c>
      <c r="D75" s="1">
        <v>4.2000000000000003E-2</v>
      </c>
    </row>
    <row r="76" spans="1:4">
      <c r="A76" s="1" t="s">
        <v>18</v>
      </c>
      <c r="B76" s="1">
        <v>8</v>
      </c>
      <c r="C76" s="1">
        <v>420</v>
      </c>
      <c r="D76" s="1">
        <v>4.2000000000000003E-2</v>
      </c>
    </row>
    <row r="77" spans="1:4">
      <c r="A77" s="1" t="s">
        <v>19</v>
      </c>
      <c r="B77" s="1">
        <v>1</v>
      </c>
      <c r="C77" s="1">
        <v>10465</v>
      </c>
      <c r="D77" s="1">
        <v>1.046</v>
      </c>
    </row>
    <row r="78" spans="1:4">
      <c r="A78" s="1" t="s">
        <v>19</v>
      </c>
      <c r="B78" s="1">
        <v>16</v>
      </c>
      <c r="C78" s="1">
        <v>3680</v>
      </c>
      <c r="D78" s="1">
        <v>0.36799999999999999</v>
      </c>
    </row>
    <row r="79" spans="1:4">
      <c r="A79" s="1" t="s">
        <v>19</v>
      </c>
      <c r="B79" s="1">
        <v>2</v>
      </c>
      <c r="C79" s="1">
        <v>7094</v>
      </c>
      <c r="D79" s="1">
        <v>0.70899999999999996</v>
      </c>
    </row>
    <row r="80" spans="1:4">
      <c r="A80" s="1" t="s">
        <v>19</v>
      </c>
      <c r="B80" s="1">
        <v>4</v>
      </c>
      <c r="C80" s="1">
        <v>4504</v>
      </c>
      <c r="D80" s="1">
        <v>0.45</v>
      </c>
    </row>
    <row r="81" spans="1:4">
      <c r="A81" s="1" t="s">
        <v>19</v>
      </c>
      <c r="B81" s="1">
        <v>8</v>
      </c>
      <c r="C81" s="1">
        <v>4097</v>
      </c>
      <c r="D81" s="1">
        <v>0.41</v>
      </c>
    </row>
    <row r="82" spans="1:4">
      <c r="A82" s="1" t="s">
        <v>20</v>
      </c>
      <c r="B82" s="1">
        <v>1</v>
      </c>
      <c r="C82" s="1">
        <v>15312</v>
      </c>
      <c r="D82" s="1">
        <v>1.5309999999999999</v>
      </c>
    </row>
    <row r="83" spans="1:4">
      <c r="A83" s="1" t="s">
        <v>20</v>
      </c>
      <c r="B83" s="1">
        <v>16</v>
      </c>
      <c r="C83" s="1">
        <v>6564</v>
      </c>
      <c r="D83" s="1">
        <v>0.65600000000000003</v>
      </c>
    </row>
    <row r="84" spans="1:4">
      <c r="A84" s="1" t="s">
        <v>20</v>
      </c>
      <c r="B84" s="1">
        <v>2</v>
      </c>
      <c r="C84" s="1">
        <v>10952</v>
      </c>
      <c r="D84" s="1">
        <v>1.095</v>
      </c>
    </row>
    <row r="85" spans="1:4">
      <c r="A85" s="1" t="s">
        <v>20</v>
      </c>
      <c r="B85" s="1">
        <v>4</v>
      </c>
      <c r="C85" s="1">
        <v>8366</v>
      </c>
      <c r="D85" s="1">
        <v>0.83699999999999997</v>
      </c>
    </row>
    <row r="86" spans="1:4">
      <c r="A86" s="1" t="s">
        <v>20</v>
      </c>
      <c r="B86" s="1">
        <v>8</v>
      </c>
      <c r="C86" s="1">
        <v>6924</v>
      </c>
      <c r="D86" s="1">
        <v>0.69199999999999995</v>
      </c>
    </row>
    <row r="87" spans="1:4">
      <c r="A87" s="1" t="s">
        <v>21</v>
      </c>
      <c r="B87" s="1">
        <v>1</v>
      </c>
      <c r="C87" s="1">
        <v>27302</v>
      </c>
      <c r="D87" s="1">
        <v>2.73</v>
      </c>
    </row>
    <row r="88" spans="1:4">
      <c r="A88" s="1" t="s">
        <v>21</v>
      </c>
      <c r="B88" s="1">
        <v>16</v>
      </c>
      <c r="C88" s="1">
        <v>17753</v>
      </c>
      <c r="D88" s="1">
        <v>1.7749999999999999</v>
      </c>
    </row>
    <row r="89" spans="1:4">
      <c r="A89" s="1" t="s">
        <v>21</v>
      </c>
      <c r="B89" s="1">
        <v>2</v>
      </c>
      <c r="C89" s="1">
        <v>26505</v>
      </c>
      <c r="D89" s="1">
        <v>2.6509999999999998</v>
      </c>
    </row>
    <row r="90" spans="1:4">
      <c r="A90" s="1" t="s">
        <v>21</v>
      </c>
      <c r="B90" s="1">
        <v>4</v>
      </c>
      <c r="C90" s="1">
        <v>25213</v>
      </c>
      <c r="D90" s="1">
        <v>2.5209999999999999</v>
      </c>
    </row>
    <row r="91" spans="1:4">
      <c r="A91" s="1" t="s">
        <v>21</v>
      </c>
      <c r="B91" s="1">
        <v>8</v>
      </c>
      <c r="C91" s="1">
        <v>17978</v>
      </c>
      <c r="D91" s="1">
        <v>1.798</v>
      </c>
    </row>
    <row r="92" spans="1:4">
      <c r="A92" s="1" t="s">
        <v>22</v>
      </c>
      <c r="B92" s="1">
        <v>1</v>
      </c>
      <c r="C92" s="1">
        <v>18615</v>
      </c>
      <c r="D92" s="1">
        <v>1.861</v>
      </c>
    </row>
    <row r="93" spans="1:4">
      <c r="A93" s="1" t="s">
        <v>22</v>
      </c>
      <c r="B93" s="1">
        <v>16</v>
      </c>
      <c r="C93" s="1">
        <v>17649</v>
      </c>
      <c r="D93" s="1">
        <v>1.7649999999999999</v>
      </c>
    </row>
    <row r="94" spans="1:4">
      <c r="A94" s="1" t="s">
        <v>22</v>
      </c>
      <c r="B94" s="1">
        <v>2</v>
      </c>
      <c r="C94" s="1">
        <v>17649</v>
      </c>
      <c r="D94" s="1">
        <v>1.7649999999999999</v>
      </c>
    </row>
    <row r="95" spans="1:4">
      <c r="A95" s="1" t="s">
        <v>22</v>
      </c>
      <c r="B95" s="1">
        <v>4</v>
      </c>
      <c r="C95" s="1">
        <v>17649</v>
      </c>
      <c r="D95" s="1">
        <v>1.7649999999999999</v>
      </c>
    </row>
    <row r="96" spans="1:4">
      <c r="A96" s="1" t="s">
        <v>22</v>
      </c>
      <c r="B96" s="1">
        <v>8</v>
      </c>
      <c r="C96" s="1">
        <v>17649</v>
      </c>
      <c r="D96" s="1">
        <v>1.7649999999999999</v>
      </c>
    </row>
    <row r="97" spans="1:4">
      <c r="A97" s="1" t="s">
        <v>23</v>
      </c>
      <c r="B97" s="1">
        <v>1</v>
      </c>
      <c r="C97" s="1">
        <v>5350</v>
      </c>
      <c r="D97" s="1">
        <v>0.53500000000000003</v>
      </c>
    </row>
    <row r="98" spans="1:4">
      <c r="A98" s="1" t="s">
        <v>23</v>
      </c>
      <c r="B98" s="1">
        <v>16</v>
      </c>
      <c r="C98" s="1">
        <v>555</v>
      </c>
      <c r="D98" s="1">
        <v>5.6000000000000001E-2</v>
      </c>
    </row>
    <row r="99" spans="1:4">
      <c r="A99" s="1" t="s">
        <v>23</v>
      </c>
      <c r="B99" s="1">
        <v>2</v>
      </c>
      <c r="C99" s="1">
        <v>867</v>
      </c>
      <c r="D99" s="1">
        <v>8.6999999999999994E-2</v>
      </c>
    </row>
    <row r="100" spans="1:4">
      <c r="A100" s="1" t="s">
        <v>23</v>
      </c>
      <c r="B100" s="1">
        <v>4</v>
      </c>
      <c r="C100" s="1">
        <v>581</v>
      </c>
      <c r="D100" s="1">
        <v>5.8000000000000003E-2</v>
      </c>
    </row>
    <row r="101" spans="1:4">
      <c r="A101" s="1" t="s">
        <v>23</v>
      </c>
      <c r="B101" s="1">
        <v>8</v>
      </c>
      <c r="C101" s="1">
        <v>555</v>
      </c>
      <c r="D101" s="1">
        <v>5.6000000000000001E-2</v>
      </c>
    </row>
    <row r="102" spans="1:4">
      <c r="A102" s="1" t="s">
        <v>24</v>
      </c>
      <c r="B102" s="1">
        <v>1</v>
      </c>
      <c r="C102" s="1">
        <v>30249</v>
      </c>
      <c r="D102" s="1">
        <v>3.0249999999999999</v>
      </c>
    </row>
    <row r="103" spans="1:4">
      <c r="A103" s="1" t="s">
        <v>24</v>
      </c>
      <c r="B103" s="1">
        <v>16</v>
      </c>
      <c r="C103" s="1">
        <v>28139</v>
      </c>
      <c r="D103" s="1">
        <v>2.8140000000000001</v>
      </c>
    </row>
    <row r="104" spans="1:4">
      <c r="A104" s="1" t="s">
        <v>24</v>
      </c>
      <c r="B104" s="1">
        <v>2</v>
      </c>
      <c r="C104" s="1">
        <v>28139</v>
      </c>
      <c r="D104" s="1">
        <v>2.8140000000000001</v>
      </c>
    </row>
    <row r="105" spans="1:4">
      <c r="A105" s="1" t="s">
        <v>24</v>
      </c>
      <c r="B105" s="1">
        <v>4</v>
      </c>
      <c r="C105" s="1">
        <v>28139</v>
      </c>
      <c r="D105" s="1">
        <v>2.8140000000000001</v>
      </c>
    </row>
    <row r="106" spans="1:4">
      <c r="A106" s="1" t="s">
        <v>24</v>
      </c>
      <c r="B106" s="1">
        <v>8</v>
      </c>
      <c r="C106" s="1">
        <v>28139</v>
      </c>
      <c r="D106" s="1">
        <v>2.8140000000000001</v>
      </c>
    </row>
    <row r="107" spans="1:4">
      <c r="A107" s="4" t="s">
        <v>25</v>
      </c>
      <c r="B107" s="4">
        <v>1</v>
      </c>
      <c r="C107" s="4">
        <v>45288</v>
      </c>
      <c r="D107" s="4">
        <v>4.5289999999999999</v>
      </c>
    </row>
    <row r="108" spans="1:4">
      <c r="A108" s="4" t="s">
        <v>25</v>
      </c>
      <c r="B108" s="4">
        <v>16</v>
      </c>
      <c r="C108" s="4">
        <v>35867</v>
      </c>
      <c r="D108" s="4">
        <v>3.5870000000000002</v>
      </c>
    </row>
    <row r="109" spans="1:4">
      <c r="A109" s="4" t="s">
        <v>25</v>
      </c>
      <c r="B109" s="4">
        <v>2</v>
      </c>
      <c r="C109" s="4">
        <v>36744</v>
      </c>
      <c r="D109" s="4">
        <v>3.6739999999999999</v>
      </c>
    </row>
    <row r="110" spans="1:4">
      <c r="A110" s="4" t="s">
        <v>25</v>
      </c>
      <c r="B110" s="4">
        <v>4</v>
      </c>
      <c r="C110" s="4">
        <v>35867</v>
      </c>
      <c r="D110" s="4">
        <v>3.5870000000000002</v>
      </c>
    </row>
    <row r="111" spans="1:4">
      <c r="A111" s="4" t="s">
        <v>25</v>
      </c>
      <c r="B111" s="4">
        <v>8</v>
      </c>
      <c r="C111" s="4">
        <v>35867</v>
      </c>
      <c r="D111" s="4">
        <v>3.5870000000000002</v>
      </c>
    </row>
    <row r="112" spans="1:4">
      <c r="A112" s="1" t="s">
        <v>26</v>
      </c>
      <c r="B112" s="1">
        <v>1</v>
      </c>
      <c r="C112" s="1">
        <v>55645</v>
      </c>
      <c r="D112" s="1">
        <v>5.5640000000000001</v>
      </c>
    </row>
    <row r="113" spans="1:4">
      <c r="A113" s="1" t="s">
        <v>26</v>
      </c>
      <c r="B113" s="1">
        <v>16</v>
      </c>
      <c r="C113" s="1">
        <v>22034</v>
      </c>
      <c r="D113" s="1">
        <v>2.2029999999999998</v>
      </c>
    </row>
    <row r="114" spans="1:4">
      <c r="A114" s="1" t="s">
        <v>26</v>
      </c>
      <c r="B114" s="1">
        <v>2</v>
      </c>
      <c r="C114" s="1">
        <v>45323</v>
      </c>
      <c r="D114" s="1">
        <v>4.532</v>
      </c>
    </row>
    <row r="115" spans="1:4">
      <c r="A115" s="1" t="s">
        <v>26</v>
      </c>
      <c r="B115" s="1">
        <v>4</v>
      </c>
      <c r="C115" s="1">
        <v>37568</v>
      </c>
      <c r="D115" s="1">
        <v>3.7570000000000001</v>
      </c>
    </row>
    <row r="116" spans="1:4">
      <c r="A116" s="1" t="s">
        <v>26</v>
      </c>
      <c r="B116" s="1">
        <v>8</v>
      </c>
      <c r="C116" s="1">
        <v>27971</v>
      </c>
      <c r="D116" s="1">
        <v>2.7970000000000002</v>
      </c>
    </row>
    <row r="117" spans="1:4">
      <c r="A117" s="1" t="s">
        <v>27</v>
      </c>
      <c r="B117" s="1">
        <v>1</v>
      </c>
      <c r="C117" s="1">
        <v>5998</v>
      </c>
      <c r="D117" s="1">
        <v>0.6</v>
      </c>
    </row>
    <row r="118" spans="1:4">
      <c r="A118" s="1" t="s">
        <v>27</v>
      </c>
      <c r="B118" s="1">
        <v>16</v>
      </c>
      <c r="C118" s="1">
        <v>4487</v>
      </c>
      <c r="D118" s="1">
        <v>0.44900000000000001</v>
      </c>
    </row>
    <row r="119" spans="1:4">
      <c r="A119" s="1" t="s">
        <v>27</v>
      </c>
      <c r="B119" s="1">
        <v>2</v>
      </c>
      <c r="C119" s="1">
        <v>4749</v>
      </c>
      <c r="D119" s="1">
        <v>0.47499999999999998</v>
      </c>
    </row>
    <row r="120" spans="1:4">
      <c r="A120" s="1" t="s">
        <v>27</v>
      </c>
      <c r="B120" s="1">
        <v>4</v>
      </c>
      <c r="C120" s="1">
        <v>4789</v>
      </c>
      <c r="D120" s="1">
        <v>0.47899999999999998</v>
      </c>
    </row>
    <row r="121" spans="1:4">
      <c r="A121" s="1" t="s">
        <v>27</v>
      </c>
      <c r="B121" s="1">
        <v>8</v>
      </c>
      <c r="C121" s="1">
        <v>4449</v>
      </c>
      <c r="D121" s="1">
        <v>0.44500000000000001</v>
      </c>
    </row>
    <row r="122" spans="1:4">
      <c r="A122" s="1" t="s">
        <v>28</v>
      </c>
      <c r="B122" s="1">
        <v>1</v>
      </c>
      <c r="C122" s="1">
        <v>7091</v>
      </c>
      <c r="D122" s="1">
        <v>0.70899999999999996</v>
      </c>
    </row>
    <row r="123" spans="1:4">
      <c r="A123" s="1" t="s">
        <v>28</v>
      </c>
      <c r="B123" s="1">
        <v>16</v>
      </c>
      <c r="C123" s="1">
        <v>3885</v>
      </c>
      <c r="D123" s="1">
        <v>0.38900000000000001</v>
      </c>
    </row>
    <row r="124" spans="1:4">
      <c r="A124" s="1" t="s">
        <v>28</v>
      </c>
      <c r="B124" s="1">
        <v>2</v>
      </c>
      <c r="C124" s="1">
        <v>4101</v>
      </c>
      <c r="D124" s="1">
        <v>0.41</v>
      </c>
    </row>
    <row r="125" spans="1:4">
      <c r="A125" s="1" t="s">
        <v>28</v>
      </c>
      <c r="B125" s="1">
        <v>4</v>
      </c>
      <c r="C125" s="1">
        <v>3876</v>
      </c>
      <c r="D125" s="1">
        <v>0.38800000000000001</v>
      </c>
    </row>
    <row r="126" spans="1:4">
      <c r="A126" s="1" t="s">
        <v>28</v>
      </c>
      <c r="B126" s="1">
        <v>8</v>
      </c>
      <c r="C126" s="1">
        <v>3834</v>
      </c>
      <c r="D126" s="1">
        <v>0.38300000000000001</v>
      </c>
    </row>
    <row r="127" spans="1:4">
      <c r="A127" s="1" t="s">
        <v>29</v>
      </c>
      <c r="B127" s="1">
        <v>1</v>
      </c>
      <c r="C127" s="1">
        <v>22693</v>
      </c>
      <c r="D127" s="1">
        <v>2.2690000000000001</v>
      </c>
    </row>
    <row r="128" spans="1:4">
      <c r="A128" s="1" t="s">
        <v>29</v>
      </c>
      <c r="B128" s="1">
        <v>16</v>
      </c>
      <c r="C128" s="1">
        <v>11930</v>
      </c>
      <c r="D128" s="1">
        <v>1.1930000000000001</v>
      </c>
    </row>
    <row r="129" spans="1:4">
      <c r="A129" s="1" t="s">
        <v>29</v>
      </c>
      <c r="B129" s="1">
        <v>2</v>
      </c>
      <c r="C129" s="1">
        <v>13275</v>
      </c>
      <c r="D129" s="1">
        <v>1.327</v>
      </c>
    </row>
    <row r="130" spans="1:4">
      <c r="A130" s="1" t="s">
        <v>29</v>
      </c>
      <c r="B130" s="1">
        <v>4</v>
      </c>
      <c r="C130" s="1">
        <v>12179</v>
      </c>
      <c r="D130" s="1">
        <v>1.218</v>
      </c>
    </row>
    <row r="131" spans="1:4">
      <c r="A131" s="1" t="s">
        <v>29</v>
      </c>
      <c r="B131" s="1">
        <v>8</v>
      </c>
      <c r="C131" s="1">
        <v>11943</v>
      </c>
      <c r="D131" s="1">
        <v>1.194</v>
      </c>
    </row>
    <row r="132" spans="1:4">
      <c r="A132" s="1" t="s">
        <v>30</v>
      </c>
      <c r="B132" s="1">
        <v>1</v>
      </c>
      <c r="C132" s="1">
        <v>23191</v>
      </c>
      <c r="D132" s="1">
        <v>2.319</v>
      </c>
    </row>
    <row r="133" spans="1:4">
      <c r="A133" s="1" t="s">
        <v>30</v>
      </c>
      <c r="B133" s="1">
        <v>16</v>
      </c>
      <c r="C133" s="1">
        <v>20641</v>
      </c>
      <c r="D133" s="1">
        <v>2.0640000000000001</v>
      </c>
    </row>
    <row r="134" spans="1:4">
      <c r="A134" s="1" t="s">
        <v>30</v>
      </c>
      <c r="B134" s="1">
        <v>2</v>
      </c>
      <c r="C134" s="1">
        <v>20679</v>
      </c>
      <c r="D134" s="1">
        <v>2.0680000000000001</v>
      </c>
    </row>
    <row r="135" spans="1:4">
      <c r="A135" s="1" t="s">
        <v>30</v>
      </c>
      <c r="B135" s="1">
        <v>4</v>
      </c>
      <c r="C135" s="1">
        <v>20644</v>
      </c>
      <c r="D135" s="1">
        <v>2.0640000000000001</v>
      </c>
    </row>
    <row r="136" spans="1:4">
      <c r="A136" s="1" t="s">
        <v>30</v>
      </c>
      <c r="B136" s="1">
        <v>8</v>
      </c>
      <c r="C136" s="1">
        <v>20642</v>
      </c>
      <c r="D136" s="1">
        <v>2.0640000000000001</v>
      </c>
    </row>
    <row r="137" spans="1:4">
      <c r="C137" s="5"/>
      <c r="D137" s="5"/>
    </row>
    <row r="138" spans="1:4">
      <c r="A138" s="6" t="s">
        <v>37</v>
      </c>
    </row>
    <row r="139" spans="1:4">
      <c r="A139">
        <v>1</v>
      </c>
      <c r="B139">
        <f>GEOMEAN(D2,D7,D12,D17,D22,D27,D32,D37,D42,D47,D52,D57,D62,D67,D72,D77,D82,D87,D92,D97,D102,D107,D112,D117,D122,D127,D132)</f>
        <v>2.0235077809955331</v>
      </c>
    </row>
    <row r="140" spans="1:4">
      <c r="A140">
        <v>2</v>
      </c>
      <c r="B140">
        <f>GEOMEAN(D4,D9,D14,D19,D24,D29,D34,D39,D44,D49,D54,D59,D64,D69,D74,D79,D84,D89,D94,D99,D104,D109,D114,D119,D124,D129,D134)</f>
        <v>1.2543200689337188</v>
      </c>
    </row>
    <row r="141" spans="1:4">
      <c r="A141">
        <v>4</v>
      </c>
      <c r="B141">
        <f>GEOMEAN(C5,C10,C15,C20,C25,C30,C35,C40,C45,C50,C55,C60,C65,C70,C75,C80,C85,C90,C95,C100,C105,C110,C115,C120,C125,C130,C135)</f>
        <v>10769.600392507018</v>
      </c>
    </row>
    <row r="142" spans="1:4">
      <c r="A142">
        <v>8</v>
      </c>
      <c r="B142">
        <f>GEOMEAN(D6,D11,D16,D21,D26,D31,D36,D41,D46,D51,D56,D61,D66,D71,D76,D81,D86,D91,D96,D101,D106,D111,D116,D121,D126,D131,D136)</f>
        <v>0.90517355766277907</v>
      </c>
    </row>
    <row r="143" spans="1:4">
      <c r="A143">
        <v>16</v>
      </c>
      <c r="B143">
        <f>GEOMEAN(D3,D8,D13,D18,D23,D28,D33,D38,D43,D48,D53,D58,D63,D68,D73,D78,D83,D88,D93,D98,D103,D108,D113,D118,D123,D128,D133)</f>
        <v>0.86818753996606268</v>
      </c>
    </row>
  </sheetData>
  <pageMargins left="0" right="0" top="0.39370078740157483" bottom="0.39370078740157483" header="0" footer="0"/>
  <pageSetup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7141C-6786-442F-943F-909E54A20819}">
  <dimension ref="A1:D115"/>
  <sheetViews>
    <sheetView topLeftCell="A100" workbookViewId="0">
      <selection activeCell="K118" sqref="K118"/>
    </sheetView>
  </sheetViews>
  <sheetFormatPr defaultRowHeight="13.2"/>
  <cols>
    <col min="1" max="1" width="26.33203125" customWidth="1"/>
    <col min="2" max="2" width="11.88671875" customWidth="1"/>
    <col min="3" max="3" width="17.44140625" customWidth="1"/>
    <col min="4" max="4" width="11.88671875" customWidth="1"/>
  </cols>
  <sheetData>
    <row r="1" spans="1:4">
      <c r="A1" s="1" t="s">
        <v>0</v>
      </c>
      <c r="B1" s="1" t="s">
        <v>31</v>
      </c>
      <c r="C1" s="1" t="s">
        <v>2</v>
      </c>
      <c r="D1" s="1" t="s">
        <v>3</v>
      </c>
    </row>
    <row r="2" spans="1:4">
      <c r="A2" s="1" t="s">
        <v>4</v>
      </c>
      <c r="B2" s="1">
        <v>128</v>
      </c>
      <c r="C2" s="1">
        <v>233</v>
      </c>
      <c r="D2" s="1">
        <v>2.3E-2</v>
      </c>
    </row>
    <row r="3" spans="1:4">
      <c r="A3" s="1" t="s">
        <v>4</v>
      </c>
      <c r="B3" s="1">
        <v>16</v>
      </c>
      <c r="C3" s="1">
        <v>526</v>
      </c>
      <c r="D3" s="1">
        <v>5.2999999999999999E-2</v>
      </c>
    </row>
    <row r="4" spans="1:4">
      <c r="A4" s="1" t="s">
        <v>4</v>
      </c>
      <c r="B4" s="1">
        <v>32</v>
      </c>
      <c r="C4" s="1">
        <v>340</v>
      </c>
      <c r="D4" s="1">
        <v>3.4000000000000002E-2</v>
      </c>
    </row>
    <row r="5" spans="1:4">
      <c r="A5" s="1" t="s">
        <v>4</v>
      </c>
      <c r="B5" s="1">
        <v>64</v>
      </c>
      <c r="C5" s="1">
        <v>235</v>
      </c>
      <c r="D5" s="1">
        <v>2.4E-2</v>
      </c>
    </row>
    <row r="6" spans="1:4">
      <c r="A6" s="4" t="s">
        <v>5</v>
      </c>
      <c r="B6" s="4">
        <v>128</v>
      </c>
      <c r="C6" s="4">
        <v>19963</v>
      </c>
      <c r="D6" s="4">
        <v>1.996</v>
      </c>
    </row>
    <row r="7" spans="1:4">
      <c r="A7" s="4" t="s">
        <v>5</v>
      </c>
      <c r="B7" s="4">
        <v>16</v>
      </c>
      <c r="C7" s="4">
        <v>9561</v>
      </c>
      <c r="D7" s="4">
        <v>0.95599999999999996</v>
      </c>
    </row>
    <row r="8" spans="1:4">
      <c r="A8" s="4" t="s">
        <v>5</v>
      </c>
      <c r="B8" s="4">
        <v>32</v>
      </c>
      <c r="C8" s="4">
        <v>17694</v>
      </c>
      <c r="D8" s="4">
        <v>1.7689999999999999</v>
      </c>
    </row>
    <row r="9" spans="1:4">
      <c r="A9" s="4" t="s">
        <v>5</v>
      </c>
      <c r="B9" s="4">
        <v>64</v>
      </c>
      <c r="C9" s="4">
        <v>18860</v>
      </c>
      <c r="D9" s="4">
        <v>1.8859999999999999</v>
      </c>
    </row>
    <row r="10" spans="1:4">
      <c r="A10" s="4" t="s">
        <v>6</v>
      </c>
      <c r="B10" s="4">
        <v>128</v>
      </c>
      <c r="C10" s="4">
        <v>11183</v>
      </c>
      <c r="D10" s="4">
        <v>1.1180000000000001</v>
      </c>
    </row>
    <row r="11" spans="1:4">
      <c r="A11" s="1" t="s">
        <v>6</v>
      </c>
      <c r="B11" s="1">
        <v>16</v>
      </c>
      <c r="C11" s="1">
        <v>78080</v>
      </c>
      <c r="D11" s="1">
        <v>7.8079999999999998</v>
      </c>
    </row>
    <row r="12" spans="1:4">
      <c r="A12" s="1" t="s">
        <v>6</v>
      </c>
      <c r="B12" s="1">
        <v>32</v>
      </c>
      <c r="C12" s="1">
        <v>41006</v>
      </c>
      <c r="D12" s="1">
        <v>4.101</v>
      </c>
    </row>
    <row r="13" spans="1:4">
      <c r="A13" s="1" t="s">
        <v>6</v>
      </c>
      <c r="B13" s="1">
        <v>64</v>
      </c>
      <c r="C13" s="1">
        <v>21639</v>
      </c>
      <c r="D13" s="1">
        <v>2.1640000000000001</v>
      </c>
    </row>
    <row r="14" spans="1:4">
      <c r="A14" s="1" t="s">
        <v>7</v>
      </c>
      <c r="B14" s="1">
        <v>128</v>
      </c>
      <c r="C14" s="1">
        <v>11265</v>
      </c>
      <c r="D14" s="1">
        <v>1.127</v>
      </c>
    </row>
    <row r="15" spans="1:4">
      <c r="A15" s="1" t="s">
        <v>7</v>
      </c>
      <c r="B15" s="1">
        <v>16</v>
      </c>
      <c r="C15" s="1">
        <v>50241</v>
      </c>
      <c r="D15" s="1">
        <v>5.024</v>
      </c>
    </row>
    <row r="16" spans="1:4">
      <c r="A16" s="1" t="s">
        <v>7</v>
      </c>
      <c r="B16" s="1">
        <v>32</v>
      </c>
      <c r="C16" s="1">
        <v>27735</v>
      </c>
      <c r="D16" s="1">
        <v>2.7730000000000001</v>
      </c>
    </row>
    <row r="17" spans="1:4">
      <c r="A17" s="1" t="s">
        <v>7</v>
      </c>
      <c r="B17" s="1">
        <v>64</v>
      </c>
      <c r="C17" s="1">
        <v>16065</v>
      </c>
      <c r="D17" s="1">
        <v>1.607</v>
      </c>
    </row>
    <row r="18" spans="1:4">
      <c r="A18" s="1" t="s">
        <v>8</v>
      </c>
      <c r="B18" s="1">
        <v>128</v>
      </c>
      <c r="C18" s="1">
        <v>12152</v>
      </c>
      <c r="D18" s="1">
        <v>1.2150000000000001</v>
      </c>
    </row>
    <row r="19" spans="1:4">
      <c r="A19" s="1" t="s">
        <v>8</v>
      </c>
      <c r="B19" s="1">
        <v>16</v>
      </c>
      <c r="C19" s="1">
        <v>10959</v>
      </c>
      <c r="D19" s="1">
        <v>1.0960000000000001</v>
      </c>
    </row>
    <row r="20" spans="1:4">
      <c r="A20" s="1" t="s">
        <v>8</v>
      </c>
      <c r="B20" s="1">
        <v>32</v>
      </c>
      <c r="C20" s="1">
        <v>10637</v>
      </c>
      <c r="D20" s="1">
        <v>1.0640000000000001</v>
      </c>
    </row>
    <row r="21" spans="1:4">
      <c r="A21" s="1" t="s">
        <v>8</v>
      </c>
      <c r="B21" s="1">
        <v>64</v>
      </c>
      <c r="C21" s="1">
        <v>11729</v>
      </c>
      <c r="D21" s="1">
        <v>1.173</v>
      </c>
    </row>
    <row r="22" spans="1:4">
      <c r="A22" s="1" t="s">
        <v>9</v>
      </c>
      <c r="B22" s="1">
        <v>128</v>
      </c>
      <c r="C22" s="1">
        <v>108355</v>
      </c>
      <c r="D22" s="1">
        <v>10.835000000000001</v>
      </c>
    </row>
    <row r="23" spans="1:4">
      <c r="A23" s="1" t="s">
        <v>9</v>
      </c>
      <c r="B23" s="1">
        <v>16</v>
      </c>
      <c r="C23" s="1">
        <v>131010</v>
      </c>
      <c r="D23" s="1">
        <v>13.101000000000001</v>
      </c>
    </row>
    <row r="24" spans="1:4">
      <c r="A24" s="1" t="s">
        <v>9</v>
      </c>
      <c r="B24" s="1">
        <v>32</v>
      </c>
      <c r="C24" s="1">
        <v>137416</v>
      </c>
      <c r="D24" s="1">
        <v>13.742000000000001</v>
      </c>
    </row>
    <row r="25" spans="1:4">
      <c r="A25" s="1" t="s">
        <v>9</v>
      </c>
      <c r="B25" s="1">
        <v>64</v>
      </c>
      <c r="C25" s="1">
        <v>107254</v>
      </c>
      <c r="D25" s="1">
        <v>10.725</v>
      </c>
    </row>
    <row r="26" spans="1:4">
      <c r="A26" s="1" t="s">
        <v>10</v>
      </c>
      <c r="B26" s="1">
        <v>128</v>
      </c>
      <c r="C26" s="1">
        <v>13260</v>
      </c>
      <c r="D26" s="1">
        <v>1.3260000000000001</v>
      </c>
    </row>
    <row r="27" spans="1:4">
      <c r="A27" s="1" t="s">
        <v>10</v>
      </c>
      <c r="B27" s="1">
        <v>16</v>
      </c>
      <c r="C27" s="1">
        <v>75018</v>
      </c>
      <c r="D27" s="1">
        <v>7.5019999999999998</v>
      </c>
    </row>
    <row r="28" spans="1:4">
      <c r="A28" s="1" t="s">
        <v>10</v>
      </c>
      <c r="B28" s="1">
        <v>32</v>
      </c>
      <c r="C28" s="1">
        <v>39729</v>
      </c>
      <c r="D28" s="1">
        <v>3.9729999999999999</v>
      </c>
    </row>
    <row r="29" spans="1:4">
      <c r="A29" s="1" t="s">
        <v>10</v>
      </c>
      <c r="B29" s="1">
        <v>64</v>
      </c>
      <c r="C29" s="1">
        <v>22083</v>
      </c>
      <c r="D29" s="1">
        <v>2.2080000000000002</v>
      </c>
    </row>
    <row r="30" spans="1:4">
      <c r="A30" s="1" t="s">
        <v>11</v>
      </c>
      <c r="B30" s="1">
        <v>128</v>
      </c>
      <c r="C30" s="1">
        <v>3542</v>
      </c>
      <c r="D30" s="1">
        <v>0.35399999999999998</v>
      </c>
    </row>
    <row r="31" spans="1:4">
      <c r="A31" s="1" t="s">
        <v>11</v>
      </c>
      <c r="B31" s="1">
        <v>16</v>
      </c>
      <c r="C31" s="1">
        <v>8764</v>
      </c>
      <c r="D31" s="1">
        <v>0.876</v>
      </c>
    </row>
    <row r="32" spans="1:4">
      <c r="A32" s="1" t="s">
        <v>11</v>
      </c>
      <c r="B32" s="1">
        <v>32</v>
      </c>
      <c r="C32" s="1">
        <v>5777</v>
      </c>
      <c r="D32" s="1">
        <v>0.57799999999999996</v>
      </c>
    </row>
    <row r="33" spans="1:4">
      <c r="A33" s="1" t="s">
        <v>11</v>
      </c>
      <c r="B33" s="1">
        <v>64</v>
      </c>
      <c r="C33" s="1">
        <v>4248</v>
      </c>
      <c r="D33" s="1">
        <v>0.42499999999999999</v>
      </c>
    </row>
    <row r="34" spans="1:4">
      <c r="A34" s="1" t="s">
        <v>12</v>
      </c>
      <c r="B34" s="1">
        <v>128</v>
      </c>
      <c r="C34" s="1">
        <v>13844</v>
      </c>
      <c r="D34" s="1">
        <v>1.3839999999999999</v>
      </c>
    </row>
    <row r="35" spans="1:4">
      <c r="A35" s="1" t="s">
        <v>12</v>
      </c>
      <c r="B35" s="1">
        <v>16</v>
      </c>
      <c r="C35" s="1">
        <v>16435</v>
      </c>
      <c r="D35" s="1">
        <v>1.643</v>
      </c>
    </row>
    <row r="36" spans="1:4">
      <c r="A36" s="1" t="s">
        <v>12</v>
      </c>
      <c r="B36" s="1">
        <v>32</v>
      </c>
      <c r="C36" s="1">
        <v>8270</v>
      </c>
      <c r="D36" s="1">
        <v>0.82699999999999996</v>
      </c>
    </row>
    <row r="37" spans="1:4">
      <c r="A37" s="1" t="s">
        <v>12</v>
      </c>
      <c r="B37" s="1">
        <v>64</v>
      </c>
      <c r="C37" s="1">
        <v>4344</v>
      </c>
      <c r="D37" s="1">
        <v>0.434</v>
      </c>
    </row>
    <row r="38" spans="1:4">
      <c r="A38" s="1" t="s">
        <v>13</v>
      </c>
      <c r="B38" s="1">
        <v>128</v>
      </c>
      <c r="C38" s="1">
        <v>1990</v>
      </c>
      <c r="D38" s="1">
        <v>0.19900000000000001</v>
      </c>
    </row>
    <row r="39" spans="1:4">
      <c r="A39" s="1" t="s">
        <v>13</v>
      </c>
      <c r="B39" s="1">
        <v>16</v>
      </c>
      <c r="C39" s="1">
        <v>15830</v>
      </c>
      <c r="D39" s="1">
        <v>1.583</v>
      </c>
    </row>
    <row r="40" spans="1:4">
      <c r="A40" s="1" t="s">
        <v>13</v>
      </c>
      <c r="B40" s="1">
        <v>32</v>
      </c>
      <c r="C40" s="1">
        <v>7922</v>
      </c>
      <c r="D40" s="1">
        <v>0.79200000000000004</v>
      </c>
    </row>
    <row r="41" spans="1:4">
      <c r="A41" s="1" t="s">
        <v>13</v>
      </c>
      <c r="B41" s="1">
        <v>64</v>
      </c>
      <c r="C41" s="1">
        <v>3968</v>
      </c>
      <c r="D41" s="1">
        <v>0.39700000000000002</v>
      </c>
    </row>
    <row r="42" spans="1:4">
      <c r="A42" s="1" t="s">
        <v>14</v>
      </c>
      <c r="B42" s="1">
        <v>128</v>
      </c>
      <c r="C42" s="1">
        <v>4467</v>
      </c>
      <c r="D42" s="1">
        <v>0.44700000000000001</v>
      </c>
    </row>
    <row r="43" spans="1:4">
      <c r="A43" s="1" t="s">
        <v>14</v>
      </c>
      <c r="B43" s="1">
        <v>16</v>
      </c>
      <c r="C43" s="1">
        <v>6807</v>
      </c>
      <c r="D43" s="1">
        <v>0.68100000000000005</v>
      </c>
    </row>
    <row r="44" spans="1:4">
      <c r="A44" s="1" t="s">
        <v>14</v>
      </c>
      <c r="B44" s="1">
        <v>32</v>
      </c>
      <c r="C44" s="1">
        <v>3861</v>
      </c>
      <c r="D44" s="1">
        <v>0.38600000000000001</v>
      </c>
    </row>
    <row r="45" spans="1:4">
      <c r="A45" s="1" t="s">
        <v>14</v>
      </c>
      <c r="B45" s="1">
        <v>64</v>
      </c>
      <c r="C45" s="1">
        <v>4368</v>
      </c>
      <c r="D45" s="1">
        <v>0.437</v>
      </c>
    </row>
    <row r="46" spans="1:4">
      <c r="A46" s="1" t="s">
        <v>15</v>
      </c>
      <c r="B46" s="1">
        <v>128</v>
      </c>
      <c r="C46" s="1">
        <v>11074</v>
      </c>
      <c r="D46" s="1">
        <v>1.107</v>
      </c>
    </row>
    <row r="47" spans="1:4">
      <c r="A47" s="1" t="s">
        <v>15</v>
      </c>
      <c r="B47" s="1">
        <v>16</v>
      </c>
      <c r="C47" s="1">
        <v>18017</v>
      </c>
      <c r="D47" s="1">
        <v>1.802</v>
      </c>
    </row>
    <row r="48" spans="1:4">
      <c r="A48" s="1" t="s">
        <v>15</v>
      </c>
      <c r="B48" s="1">
        <v>32</v>
      </c>
      <c r="C48" s="1">
        <v>13136</v>
      </c>
      <c r="D48" s="1">
        <v>1.3140000000000001</v>
      </c>
    </row>
    <row r="49" spans="1:4">
      <c r="A49" s="1" t="s">
        <v>15</v>
      </c>
      <c r="B49" s="1">
        <v>64</v>
      </c>
      <c r="C49" s="1">
        <v>11407</v>
      </c>
      <c r="D49" s="1">
        <v>1.141</v>
      </c>
    </row>
    <row r="50" spans="1:4">
      <c r="A50" s="1" t="s">
        <v>16</v>
      </c>
      <c r="B50" s="1">
        <v>128</v>
      </c>
      <c r="C50" s="1">
        <v>60452</v>
      </c>
      <c r="D50" s="1">
        <v>6.0449999999999999</v>
      </c>
    </row>
    <row r="51" spans="1:4">
      <c r="A51" s="1" t="s">
        <v>16</v>
      </c>
      <c r="B51" s="1">
        <v>16</v>
      </c>
      <c r="C51" s="1">
        <v>96565</v>
      </c>
      <c r="D51" s="1">
        <v>9.6560000000000006</v>
      </c>
    </row>
    <row r="52" spans="1:4">
      <c r="A52" s="1" t="s">
        <v>16</v>
      </c>
      <c r="B52" s="1">
        <v>32</v>
      </c>
      <c r="C52" s="1">
        <v>78884</v>
      </c>
      <c r="D52" s="1">
        <v>7.8879999999999999</v>
      </c>
    </row>
    <row r="53" spans="1:4">
      <c r="A53" s="1" t="s">
        <v>16</v>
      </c>
      <c r="B53" s="1">
        <v>64</v>
      </c>
      <c r="C53" s="1">
        <v>67734</v>
      </c>
      <c r="D53" s="1">
        <v>6.7729999999999997</v>
      </c>
    </row>
    <row r="54" spans="1:4">
      <c r="A54" s="1" t="s">
        <v>17</v>
      </c>
      <c r="B54" s="1">
        <v>128</v>
      </c>
      <c r="C54" s="1">
        <v>18098</v>
      </c>
      <c r="D54" s="1">
        <v>1.81</v>
      </c>
    </row>
    <row r="55" spans="1:4">
      <c r="A55" s="1" t="s">
        <v>17</v>
      </c>
      <c r="B55" s="1">
        <v>16</v>
      </c>
      <c r="C55" s="1">
        <v>41400</v>
      </c>
      <c r="D55" s="1">
        <v>4.1399999999999997</v>
      </c>
    </row>
    <row r="56" spans="1:4">
      <c r="A56" s="1" t="s">
        <v>17</v>
      </c>
      <c r="B56" s="1">
        <v>32</v>
      </c>
      <c r="C56" s="1">
        <v>31895</v>
      </c>
      <c r="D56" s="1">
        <v>3.1890000000000001</v>
      </c>
    </row>
    <row r="57" spans="1:4">
      <c r="A57" s="1" t="s">
        <v>17</v>
      </c>
      <c r="B57" s="1">
        <v>64</v>
      </c>
      <c r="C57" s="1">
        <v>25001</v>
      </c>
      <c r="D57" s="1">
        <v>2.5</v>
      </c>
    </row>
    <row r="58" spans="1:4">
      <c r="A58" s="1" t="s">
        <v>18</v>
      </c>
      <c r="B58" s="1">
        <v>128</v>
      </c>
      <c r="C58" s="1">
        <v>250</v>
      </c>
      <c r="D58" s="1">
        <v>2.5000000000000001E-2</v>
      </c>
    </row>
    <row r="59" spans="1:4">
      <c r="A59" s="1" t="s">
        <v>18</v>
      </c>
      <c r="B59" s="1">
        <v>16</v>
      </c>
      <c r="C59" s="1">
        <v>1351</v>
      </c>
      <c r="D59" s="1">
        <v>0.13500000000000001</v>
      </c>
    </row>
    <row r="60" spans="1:4">
      <c r="A60" s="1" t="s">
        <v>18</v>
      </c>
      <c r="B60" s="1">
        <v>32</v>
      </c>
      <c r="C60" s="1">
        <v>738</v>
      </c>
      <c r="D60" s="1">
        <v>7.3999999999999996E-2</v>
      </c>
    </row>
    <row r="61" spans="1:4">
      <c r="A61" s="1" t="s">
        <v>18</v>
      </c>
      <c r="B61" s="1">
        <v>64</v>
      </c>
      <c r="C61" s="1">
        <v>420</v>
      </c>
      <c r="D61" s="1">
        <v>4.2000000000000003E-2</v>
      </c>
    </row>
    <row r="62" spans="1:4">
      <c r="A62" s="1" t="s">
        <v>19</v>
      </c>
      <c r="B62" s="1">
        <v>128</v>
      </c>
      <c r="C62" s="1">
        <v>2286</v>
      </c>
      <c r="D62" s="1">
        <v>0.22900000000000001</v>
      </c>
    </row>
    <row r="63" spans="1:4">
      <c r="A63" s="1" t="s">
        <v>19</v>
      </c>
      <c r="B63" s="1">
        <v>16</v>
      </c>
      <c r="C63" s="1">
        <v>14708</v>
      </c>
      <c r="D63" s="1">
        <v>1.4710000000000001</v>
      </c>
    </row>
    <row r="64" spans="1:4">
      <c r="A64" s="1" t="s">
        <v>19</v>
      </c>
      <c r="B64" s="1">
        <v>32</v>
      </c>
      <c r="C64" s="1">
        <v>7632</v>
      </c>
      <c r="D64" s="1">
        <v>0.76300000000000001</v>
      </c>
    </row>
    <row r="65" spans="1:4">
      <c r="A65" s="1" t="s">
        <v>19</v>
      </c>
      <c r="B65" s="1">
        <v>64</v>
      </c>
      <c r="C65" s="1">
        <v>4097</v>
      </c>
      <c r="D65" s="1">
        <v>0.41</v>
      </c>
    </row>
    <row r="66" spans="1:4">
      <c r="A66" s="1" t="s">
        <v>20</v>
      </c>
      <c r="B66" s="1">
        <v>128</v>
      </c>
      <c r="C66" s="1">
        <v>9076</v>
      </c>
      <c r="D66" s="1">
        <v>0.90800000000000003</v>
      </c>
    </row>
    <row r="67" spans="1:4">
      <c r="A67" s="1" t="s">
        <v>20</v>
      </c>
      <c r="B67" s="1">
        <v>16</v>
      </c>
      <c r="C67" s="1">
        <v>7404</v>
      </c>
      <c r="D67" s="1">
        <v>0.74</v>
      </c>
    </row>
    <row r="68" spans="1:4">
      <c r="A68" s="1" t="s">
        <v>20</v>
      </c>
      <c r="B68" s="1">
        <v>32</v>
      </c>
      <c r="C68" s="1">
        <v>6556</v>
      </c>
      <c r="D68" s="1">
        <v>0.65600000000000003</v>
      </c>
    </row>
    <row r="69" spans="1:4">
      <c r="A69" s="1" t="s">
        <v>20</v>
      </c>
      <c r="B69" s="1">
        <v>64</v>
      </c>
      <c r="C69" s="1">
        <v>6924</v>
      </c>
      <c r="D69" s="1">
        <v>0.69199999999999995</v>
      </c>
    </row>
    <row r="70" spans="1:4">
      <c r="A70" s="1" t="s">
        <v>21</v>
      </c>
      <c r="B70" s="1">
        <v>128</v>
      </c>
      <c r="C70" s="1">
        <v>9353</v>
      </c>
      <c r="D70" s="1">
        <v>0.93500000000000005</v>
      </c>
    </row>
    <row r="71" spans="1:4">
      <c r="A71" s="1" t="s">
        <v>21</v>
      </c>
      <c r="B71" s="1">
        <v>16</v>
      </c>
      <c r="C71" s="1">
        <v>69706</v>
      </c>
      <c r="D71" s="1">
        <v>6.9710000000000001</v>
      </c>
    </row>
    <row r="72" spans="1:4">
      <c r="A72" s="1" t="s">
        <v>21</v>
      </c>
      <c r="B72" s="1">
        <v>32</v>
      </c>
      <c r="C72" s="1">
        <v>35210</v>
      </c>
      <c r="D72" s="1">
        <v>3.5209999999999999</v>
      </c>
    </row>
    <row r="73" spans="1:4">
      <c r="A73" s="1" t="s">
        <v>21</v>
      </c>
      <c r="B73" s="1">
        <v>64</v>
      </c>
      <c r="C73" s="1">
        <v>17978</v>
      </c>
      <c r="D73" s="1">
        <v>1.798</v>
      </c>
    </row>
    <row r="74" spans="1:4">
      <c r="A74" s="1" t="s">
        <v>22</v>
      </c>
      <c r="B74" s="1">
        <v>128</v>
      </c>
      <c r="C74" s="1">
        <v>8826</v>
      </c>
      <c r="D74" s="1">
        <v>0.88300000000000001</v>
      </c>
    </row>
    <row r="75" spans="1:4">
      <c r="A75" s="1" t="s">
        <v>22</v>
      </c>
      <c r="B75" s="1">
        <v>16</v>
      </c>
      <c r="C75" s="1">
        <v>70583</v>
      </c>
      <c r="D75" s="1">
        <v>7.0579999999999998</v>
      </c>
    </row>
    <row r="76" spans="1:4">
      <c r="A76" s="1" t="s">
        <v>22</v>
      </c>
      <c r="B76" s="1">
        <v>32</v>
      </c>
      <c r="C76" s="1">
        <v>35294</v>
      </c>
      <c r="D76" s="1">
        <v>3.5289999999999999</v>
      </c>
    </row>
    <row r="77" spans="1:4">
      <c r="A77" s="1" t="s">
        <v>22</v>
      </c>
      <c r="B77" s="1">
        <v>64</v>
      </c>
      <c r="C77" s="1">
        <v>17649</v>
      </c>
      <c r="D77" s="1">
        <v>1.7649999999999999</v>
      </c>
    </row>
    <row r="78" spans="1:4">
      <c r="A78" s="1" t="s">
        <v>23</v>
      </c>
      <c r="B78" s="1">
        <v>128</v>
      </c>
      <c r="C78" s="1">
        <v>311</v>
      </c>
      <c r="D78" s="1">
        <v>3.1E-2</v>
      </c>
    </row>
    <row r="79" spans="1:4">
      <c r="A79" s="1" t="s">
        <v>23</v>
      </c>
      <c r="B79" s="1">
        <v>16</v>
      </c>
      <c r="C79" s="1">
        <v>2060</v>
      </c>
      <c r="D79" s="1">
        <v>0.20599999999999999</v>
      </c>
    </row>
    <row r="80" spans="1:4">
      <c r="A80" s="1" t="s">
        <v>23</v>
      </c>
      <c r="B80" s="1">
        <v>32</v>
      </c>
      <c r="C80" s="1">
        <v>1044</v>
      </c>
      <c r="D80" s="1">
        <v>0.104</v>
      </c>
    </row>
    <row r="81" spans="1:4">
      <c r="A81" s="1" t="s">
        <v>23</v>
      </c>
      <c r="B81" s="1">
        <v>64</v>
      </c>
      <c r="C81" s="1">
        <v>555</v>
      </c>
      <c r="D81" s="1">
        <v>5.6000000000000001E-2</v>
      </c>
    </row>
    <row r="82" spans="1:4">
      <c r="A82" s="1" t="s">
        <v>24</v>
      </c>
      <c r="B82" s="1">
        <v>128</v>
      </c>
      <c r="C82" s="1">
        <v>14109</v>
      </c>
      <c r="D82" s="1">
        <v>1.411</v>
      </c>
    </row>
    <row r="83" spans="1:4">
      <c r="A83" s="1" t="s">
        <v>24</v>
      </c>
      <c r="B83" s="1">
        <v>16</v>
      </c>
      <c r="C83" s="1">
        <v>112252</v>
      </c>
      <c r="D83" s="1">
        <v>11.225</v>
      </c>
    </row>
    <row r="84" spans="1:4">
      <c r="A84" s="1" t="s">
        <v>24</v>
      </c>
      <c r="B84" s="1">
        <v>32</v>
      </c>
      <c r="C84" s="1">
        <v>56179</v>
      </c>
      <c r="D84" s="1">
        <v>5.6180000000000003</v>
      </c>
    </row>
    <row r="85" spans="1:4">
      <c r="A85" s="1" t="s">
        <v>24</v>
      </c>
      <c r="B85" s="1">
        <v>64</v>
      </c>
      <c r="C85" s="1">
        <v>28139</v>
      </c>
      <c r="D85" s="1">
        <v>2.8140000000000001</v>
      </c>
    </row>
    <row r="86" spans="1:4">
      <c r="A86" s="1" t="s">
        <v>25</v>
      </c>
      <c r="B86" s="1">
        <v>128</v>
      </c>
      <c r="C86" s="1">
        <v>24989</v>
      </c>
      <c r="D86" s="1">
        <v>2.4990000000000001</v>
      </c>
    </row>
    <row r="87" spans="1:4">
      <c r="A87" s="1" t="s">
        <v>25</v>
      </c>
      <c r="B87" s="1">
        <v>16</v>
      </c>
      <c r="C87" s="1">
        <v>63270</v>
      </c>
      <c r="D87" s="1">
        <v>6.327</v>
      </c>
    </row>
    <row r="88" spans="1:4">
      <c r="A88" s="1" t="s">
        <v>25</v>
      </c>
      <c r="B88" s="1">
        <v>32</v>
      </c>
      <c r="C88" s="1">
        <v>45724</v>
      </c>
      <c r="D88" s="1">
        <v>4.5720000000000001</v>
      </c>
    </row>
    <row r="89" spans="1:4">
      <c r="A89" s="1" t="s">
        <v>25</v>
      </c>
      <c r="B89" s="1">
        <v>64</v>
      </c>
      <c r="C89" s="1">
        <v>35867</v>
      </c>
      <c r="D89" s="1">
        <v>3.5870000000000002</v>
      </c>
    </row>
    <row r="90" spans="1:4">
      <c r="A90" s="1" t="s">
        <v>26</v>
      </c>
      <c r="B90" s="1">
        <v>128</v>
      </c>
      <c r="C90" s="1">
        <v>39869</v>
      </c>
      <c r="D90" s="1">
        <v>3.9870000000000001</v>
      </c>
    </row>
    <row r="91" spans="1:4">
      <c r="A91" s="1" t="s">
        <v>26</v>
      </c>
      <c r="B91" s="1">
        <v>16</v>
      </c>
      <c r="C91" s="1">
        <v>33787</v>
      </c>
      <c r="D91" s="1">
        <v>3.379</v>
      </c>
    </row>
    <row r="92" spans="1:4">
      <c r="A92" s="1" t="s">
        <v>26</v>
      </c>
      <c r="B92" s="1">
        <v>32</v>
      </c>
      <c r="C92" s="1">
        <v>26114</v>
      </c>
      <c r="D92" s="1">
        <v>2.6110000000000002</v>
      </c>
    </row>
    <row r="93" spans="1:4">
      <c r="A93" s="1" t="s">
        <v>26</v>
      </c>
      <c r="B93" s="1">
        <v>64</v>
      </c>
      <c r="C93" s="1">
        <v>27971</v>
      </c>
      <c r="D93" s="1">
        <v>2.7970000000000002</v>
      </c>
    </row>
    <row r="94" spans="1:4">
      <c r="A94" s="1" t="s">
        <v>27</v>
      </c>
      <c r="B94" s="1">
        <v>128</v>
      </c>
      <c r="C94" s="1">
        <v>3890</v>
      </c>
      <c r="D94" s="1">
        <v>0.38900000000000001</v>
      </c>
    </row>
    <row r="95" spans="1:4">
      <c r="A95" s="1" t="s">
        <v>27</v>
      </c>
      <c r="B95" s="1">
        <v>16</v>
      </c>
      <c r="C95" s="1">
        <v>7408</v>
      </c>
      <c r="D95" s="1">
        <v>0.74099999999999999</v>
      </c>
    </row>
    <row r="96" spans="1:4">
      <c r="A96" s="1" t="s">
        <v>27</v>
      </c>
      <c r="B96" s="1">
        <v>32</v>
      </c>
      <c r="C96" s="1">
        <v>5442</v>
      </c>
      <c r="D96" s="1">
        <v>0.54400000000000004</v>
      </c>
    </row>
    <row r="97" spans="1:4">
      <c r="A97" s="1" t="s">
        <v>27</v>
      </c>
      <c r="B97" s="1">
        <v>64</v>
      </c>
      <c r="C97" s="1">
        <v>4449</v>
      </c>
      <c r="D97" s="1">
        <v>0.44500000000000001</v>
      </c>
    </row>
    <row r="98" spans="1:4">
      <c r="A98" s="1" t="s">
        <v>28</v>
      </c>
      <c r="B98" s="1">
        <v>128</v>
      </c>
      <c r="C98" s="1">
        <v>2081</v>
      </c>
      <c r="D98" s="1">
        <v>0.20799999999999999</v>
      </c>
    </row>
    <row r="99" spans="1:4">
      <c r="A99" s="1" t="s">
        <v>28</v>
      </c>
      <c r="B99" s="1">
        <v>16</v>
      </c>
      <c r="C99" s="1">
        <v>13350</v>
      </c>
      <c r="D99" s="1">
        <v>1.335</v>
      </c>
    </row>
    <row r="100" spans="1:4">
      <c r="A100" s="1" t="s">
        <v>28</v>
      </c>
      <c r="B100" s="1">
        <v>32</v>
      </c>
      <c r="C100" s="1">
        <v>7187</v>
      </c>
      <c r="D100" s="1">
        <v>0.71899999999999997</v>
      </c>
    </row>
    <row r="101" spans="1:4">
      <c r="A101" s="1" t="s">
        <v>28</v>
      </c>
      <c r="B101" s="1">
        <v>64</v>
      </c>
      <c r="C101" s="1">
        <v>3834</v>
      </c>
      <c r="D101" s="1">
        <v>0.38300000000000001</v>
      </c>
    </row>
    <row r="102" spans="1:4">
      <c r="A102" s="1" t="s">
        <v>29</v>
      </c>
      <c r="B102" s="1">
        <v>128</v>
      </c>
      <c r="C102" s="1">
        <v>8039</v>
      </c>
      <c r="D102" s="1">
        <v>0.80400000000000005</v>
      </c>
    </row>
    <row r="103" spans="1:4">
      <c r="A103" s="1" t="s">
        <v>29</v>
      </c>
      <c r="B103" s="1">
        <v>16</v>
      </c>
      <c r="C103" s="1">
        <v>34498</v>
      </c>
      <c r="D103" s="1">
        <v>3.45</v>
      </c>
    </row>
    <row r="104" spans="1:4">
      <c r="A104" s="1" t="s">
        <v>29</v>
      </c>
      <c r="B104" s="1">
        <v>32</v>
      </c>
      <c r="C104" s="1">
        <v>19752</v>
      </c>
      <c r="D104" s="1">
        <v>1.9750000000000001</v>
      </c>
    </row>
    <row r="105" spans="1:4">
      <c r="A105" s="1" t="s">
        <v>29</v>
      </c>
      <c r="B105" s="1">
        <v>64</v>
      </c>
      <c r="C105" s="1">
        <v>11943</v>
      </c>
      <c r="D105" s="1">
        <v>1.194</v>
      </c>
    </row>
    <row r="106" spans="1:4">
      <c r="A106" s="1" t="s">
        <v>30</v>
      </c>
      <c r="B106" s="1">
        <v>128</v>
      </c>
      <c r="C106" s="1">
        <v>13666</v>
      </c>
      <c r="D106" s="1">
        <v>1.367</v>
      </c>
    </row>
    <row r="107" spans="1:4">
      <c r="A107" s="1" t="s">
        <v>30</v>
      </c>
      <c r="B107" s="1">
        <v>16</v>
      </c>
      <c r="C107" s="1">
        <v>36458</v>
      </c>
      <c r="D107" s="1">
        <v>3.6459999999999999</v>
      </c>
    </row>
    <row r="108" spans="1:4">
      <c r="A108" s="1" t="s">
        <v>30</v>
      </c>
      <c r="B108" s="1">
        <v>32</v>
      </c>
      <c r="C108" s="1">
        <v>28832</v>
      </c>
      <c r="D108" s="1">
        <v>2.883</v>
      </c>
    </row>
    <row r="109" spans="1:4">
      <c r="A109" s="1" t="s">
        <v>30</v>
      </c>
      <c r="B109" s="1">
        <v>64</v>
      </c>
      <c r="C109" s="1">
        <v>20642</v>
      </c>
      <c r="D109" s="1">
        <v>2.0640000000000001</v>
      </c>
    </row>
    <row r="110" spans="1:4">
      <c r="C110" s="2" t="s">
        <v>36</v>
      </c>
      <c r="D110" s="3">
        <f>GEOMEAN(D2:D109)</f>
        <v>1.1351049402311377</v>
      </c>
    </row>
    <row r="111" spans="1:4">
      <c r="A111" s="6" t="s">
        <v>37</v>
      </c>
    </row>
    <row r="112" spans="1:4">
      <c r="A112">
        <v>16</v>
      </c>
      <c r="B112">
        <f>GEOMEAN(D3,D7,D11,D15,D19,D23,D27,D31,D35,D39,D43,D47,D51,D55,D59,D63,D67,D71,D75,D79,D83,D87,D91,D95,D99,D103,D107)</f>
        <v>1.9828907198443753</v>
      </c>
    </row>
    <row r="113" spans="1:2">
      <c r="A113">
        <v>32</v>
      </c>
      <c r="B113">
        <f>GEOMEAN(D4,D8,D12,D16,D20,D24,D28,D32,D36,D40,D44,D48,D52,D56,D60,D64,D68,D72,D76,D80,D84,D88,D92,D96,D100,D104,D108)</f>
        <v>1.3067685985545543</v>
      </c>
    </row>
    <row r="114" spans="1:2">
      <c r="A114">
        <v>64</v>
      </c>
      <c r="B114">
        <f>GEOMEAN(D5,D9,D13,D17,D21,D25,D29,D33,D37,D41,D45,D49,D53,D57,D61,D65,D69,D73,D77,D81,D85,D89,D93,D97,D101,D105,D109)</f>
        <v>0.90517355766277907</v>
      </c>
    </row>
    <row r="115" spans="1:2">
      <c r="A115">
        <v>128</v>
      </c>
      <c r="B115">
        <f>GEOMEAN(D2,D6,D10,D14,D18,D22,D26,D30,D34,D38,D42,D46,D50,D54,D58,D62,D66,D70,D74,D78,D82,D86,D90,D94,D98,D102,D106)</f>
        <v>0.70780679325581486</v>
      </c>
    </row>
  </sheetData>
  <pageMargins left="0" right="0" top="0.39370078740157483" bottom="0.39370078740157483" header="0" footer="0"/>
  <headerFooter>
    <oddHeader>&amp;C&amp;A</oddHeader>
    <oddFooter>&amp;CPage 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2C2C6-2C0B-47D3-9D7D-510E3B7A584C}">
  <dimension ref="A1:D59"/>
  <sheetViews>
    <sheetView tabSelected="1" topLeftCell="A4" workbookViewId="0">
      <selection activeCell="L27" sqref="L27"/>
    </sheetView>
  </sheetViews>
  <sheetFormatPr defaultRowHeight="13.2"/>
  <cols>
    <col min="1" max="1" width="29.77734375" customWidth="1"/>
    <col min="2" max="2" width="11.88671875" customWidth="1"/>
    <col min="3" max="3" width="17.88671875" customWidth="1"/>
    <col min="4" max="4" width="11.88671875" customWidth="1"/>
  </cols>
  <sheetData>
    <row r="1" spans="1:4">
      <c r="A1" s="1" t="s">
        <v>0</v>
      </c>
      <c r="B1" s="1" t="s">
        <v>32</v>
      </c>
      <c r="C1" s="1" t="s">
        <v>2</v>
      </c>
      <c r="D1" s="1" t="s">
        <v>3</v>
      </c>
    </row>
    <row r="2" spans="1:4">
      <c r="A2" s="1" t="s">
        <v>4</v>
      </c>
      <c r="B2" s="1" t="s">
        <v>33</v>
      </c>
      <c r="C2" s="1">
        <v>235</v>
      </c>
      <c r="D2" s="1">
        <v>2.4E-2</v>
      </c>
    </row>
    <row r="3" spans="1:4">
      <c r="A3" s="1" t="s">
        <v>4</v>
      </c>
      <c r="B3" s="1" t="s">
        <v>34</v>
      </c>
      <c r="C3" s="1">
        <v>345</v>
      </c>
      <c r="D3" s="1">
        <v>3.5000000000000003E-2</v>
      </c>
    </row>
    <row r="4" spans="1:4">
      <c r="A4" s="1" t="s">
        <v>5</v>
      </c>
      <c r="B4" s="1" t="s">
        <v>33</v>
      </c>
      <c r="C4" s="1">
        <v>18860</v>
      </c>
      <c r="D4" s="1">
        <v>1.8859999999999999</v>
      </c>
    </row>
    <row r="5" spans="1:4">
      <c r="A5" s="1" t="s">
        <v>5</v>
      </c>
      <c r="B5" s="1" t="s">
        <v>34</v>
      </c>
      <c r="C5" s="1">
        <v>18488</v>
      </c>
      <c r="D5" s="1">
        <v>1.849</v>
      </c>
    </row>
    <row r="6" spans="1:4">
      <c r="A6" s="1" t="s">
        <v>6</v>
      </c>
      <c r="B6" s="1" t="s">
        <v>33</v>
      </c>
      <c r="C6" s="1">
        <v>21639</v>
      </c>
      <c r="D6" s="1">
        <v>2.1640000000000001</v>
      </c>
    </row>
    <row r="7" spans="1:4">
      <c r="A7" s="1" t="s">
        <v>6</v>
      </c>
      <c r="B7" s="1" t="s">
        <v>34</v>
      </c>
      <c r="C7" s="1">
        <v>28386</v>
      </c>
      <c r="D7" s="1">
        <v>2.839</v>
      </c>
    </row>
    <row r="8" spans="1:4">
      <c r="A8" s="1" t="s">
        <v>7</v>
      </c>
      <c r="B8" s="1" t="s">
        <v>33</v>
      </c>
      <c r="C8" s="1">
        <v>16065</v>
      </c>
      <c r="D8" s="1">
        <v>1.607</v>
      </c>
    </row>
    <row r="9" spans="1:4">
      <c r="A9" s="1" t="s">
        <v>7</v>
      </c>
      <c r="B9" s="1" t="s">
        <v>34</v>
      </c>
      <c r="C9" s="1">
        <v>26331</v>
      </c>
      <c r="D9" s="1">
        <v>2.633</v>
      </c>
    </row>
    <row r="10" spans="1:4">
      <c r="A10" s="1" t="s">
        <v>8</v>
      </c>
      <c r="B10" s="1" t="s">
        <v>33</v>
      </c>
      <c r="C10" s="1">
        <v>11729</v>
      </c>
      <c r="D10" s="1">
        <v>1.173</v>
      </c>
    </row>
    <row r="11" spans="1:4">
      <c r="A11" s="1" t="s">
        <v>8</v>
      </c>
      <c r="B11" s="1" t="s">
        <v>34</v>
      </c>
      <c r="C11" s="1">
        <v>11785</v>
      </c>
      <c r="D11" s="1">
        <v>1.179</v>
      </c>
    </row>
    <row r="12" spans="1:4">
      <c r="A12" s="1" t="s">
        <v>9</v>
      </c>
      <c r="B12" s="1" t="s">
        <v>33</v>
      </c>
      <c r="C12" s="1">
        <v>107254</v>
      </c>
      <c r="D12" s="1">
        <v>10.725</v>
      </c>
    </row>
    <row r="13" spans="1:4">
      <c r="A13" s="1" t="s">
        <v>9</v>
      </c>
      <c r="B13" s="1" t="s">
        <v>34</v>
      </c>
      <c r="C13" s="1">
        <v>107447</v>
      </c>
      <c r="D13" s="1">
        <v>10.744999999999999</v>
      </c>
    </row>
    <row r="14" spans="1:4">
      <c r="A14" s="1" t="s">
        <v>10</v>
      </c>
      <c r="B14" s="1" t="s">
        <v>33</v>
      </c>
      <c r="C14" s="1">
        <v>22083</v>
      </c>
      <c r="D14" s="1">
        <v>2.2080000000000002</v>
      </c>
    </row>
    <row r="15" spans="1:4">
      <c r="A15" s="1" t="s">
        <v>10</v>
      </c>
      <c r="B15" s="1" t="s">
        <v>34</v>
      </c>
      <c r="C15" s="1">
        <v>22341</v>
      </c>
      <c r="D15" s="1">
        <v>2.234</v>
      </c>
    </row>
    <row r="16" spans="1:4">
      <c r="A16" s="1" t="s">
        <v>11</v>
      </c>
      <c r="B16" s="1" t="s">
        <v>33</v>
      </c>
      <c r="C16" s="1">
        <v>4248</v>
      </c>
      <c r="D16" s="1">
        <v>0.42499999999999999</v>
      </c>
    </row>
    <row r="17" spans="1:4">
      <c r="A17" s="1" t="s">
        <v>11</v>
      </c>
      <c r="B17" s="1" t="s">
        <v>34</v>
      </c>
      <c r="C17" s="1">
        <v>4754</v>
      </c>
      <c r="D17" s="1">
        <v>0.47499999999999998</v>
      </c>
    </row>
    <row r="18" spans="1:4">
      <c r="A18" s="1" t="s">
        <v>12</v>
      </c>
      <c r="B18" s="1" t="s">
        <v>33</v>
      </c>
      <c r="C18" s="1">
        <v>4344</v>
      </c>
      <c r="D18" s="1">
        <v>0.434</v>
      </c>
    </row>
    <row r="19" spans="1:4">
      <c r="A19" s="1" t="s">
        <v>12</v>
      </c>
      <c r="B19" s="1" t="s">
        <v>34</v>
      </c>
      <c r="C19" s="1">
        <v>10098</v>
      </c>
      <c r="D19" s="1">
        <v>1.01</v>
      </c>
    </row>
    <row r="20" spans="1:4">
      <c r="A20" s="1" t="s">
        <v>13</v>
      </c>
      <c r="B20" s="1" t="s">
        <v>33</v>
      </c>
      <c r="C20" s="1">
        <v>3968</v>
      </c>
      <c r="D20" s="1">
        <v>0.39700000000000002</v>
      </c>
    </row>
    <row r="21" spans="1:4">
      <c r="A21" s="1" t="s">
        <v>13</v>
      </c>
      <c r="B21" s="1" t="s">
        <v>34</v>
      </c>
      <c r="C21" s="1">
        <v>4406</v>
      </c>
      <c r="D21" s="1">
        <v>0.441</v>
      </c>
    </row>
    <row r="22" spans="1:4">
      <c r="A22" s="1" t="s">
        <v>14</v>
      </c>
      <c r="B22" s="1" t="s">
        <v>33</v>
      </c>
      <c r="C22" s="1">
        <v>4368</v>
      </c>
      <c r="D22" s="1">
        <v>0.437</v>
      </c>
    </row>
    <row r="23" spans="1:4">
      <c r="A23" s="1" t="s">
        <v>14</v>
      </c>
      <c r="B23" s="1" t="s">
        <v>34</v>
      </c>
      <c r="C23" s="1">
        <v>5428</v>
      </c>
      <c r="D23" s="1">
        <v>0.54300000000000004</v>
      </c>
    </row>
    <row r="24" spans="1:4">
      <c r="A24" s="1" t="s">
        <v>15</v>
      </c>
      <c r="B24" s="1" t="s">
        <v>33</v>
      </c>
      <c r="C24" s="1">
        <v>11407</v>
      </c>
      <c r="D24" s="1">
        <v>1.141</v>
      </c>
    </row>
    <row r="25" spans="1:4">
      <c r="A25" s="1" t="s">
        <v>15</v>
      </c>
      <c r="B25" s="1" t="s">
        <v>34</v>
      </c>
      <c r="C25" s="1">
        <v>16319</v>
      </c>
      <c r="D25" s="1">
        <v>1.6319999999999999</v>
      </c>
    </row>
    <row r="26" spans="1:4">
      <c r="A26" s="1" t="s">
        <v>16</v>
      </c>
      <c r="B26" s="1" t="s">
        <v>33</v>
      </c>
      <c r="C26" s="1">
        <v>67734</v>
      </c>
      <c r="D26" s="1">
        <v>6.7729999999999997</v>
      </c>
    </row>
    <row r="27" spans="1:4">
      <c r="A27" s="1" t="s">
        <v>16</v>
      </c>
      <c r="B27" s="1" t="s">
        <v>34</v>
      </c>
      <c r="C27" s="1">
        <v>71187</v>
      </c>
      <c r="D27" s="1">
        <v>7.1189999999999998</v>
      </c>
    </row>
    <row r="28" spans="1:4">
      <c r="A28" s="1" t="s">
        <v>17</v>
      </c>
      <c r="B28" s="1" t="s">
        <v>33</v>
      </c>
      <c r="C28" s="1">
        <v>25001</v>
      </c>
      <c r="D28" s="1">
        <v>2.5</v>
      </c>
    </row>
    <row r="29" spans="1:4">
      <c r="A29" s="1" t="s">
        <v>17</v>
      </c>
      <c r="B29" s="1" t="s">
        <v>34</v>
      </c>
      <c r="C29" s="1">
        <v>26525</v>
      </c>
      <c r="D29" s="1">
        <v>2.6520000000000001</v>
      </c>
    </row>
    <row r="30" spans="1:4">
      <c r="A30" s="1" t="s">
        <v>18</v>
      </c>
      <c r="B30" s="1" t="s">
        <v>33</v>
      </c>
      <c r="C30" s="1">
        <v>420</v>
      </c>
      <c r="D30" s="1">
        <v>4.2000000000000003E-2</v>
      </c>
    </row>
    <row r="31" spans="1:4">
      <c r="A31" s="1" t="s">
        <v>18</v>
      </c>
      <c r="B31" s="1" t="s">
        <v>34</v>
      </c>
      <c r="C31" s="1">
        <v>471</v>
      </c>
      <c r="D31" s="1">
        <v>4.7E-2</v>
      </c>
    </row>
    <row r="32" spans="1:4">
      <c r="A32" s="1" t="s">
        <v>19</v>
      </c>
      <c r="B32" s="1" t="s">
        <v>33</v>
      </c>
      <c r="C32" s="1">
        <v>4097</v>
      </c>
      <c r="D32" s="1">
        <v>0.41</v>
      </c>
    </row>
    <row r="33" spans="1:4">
      <c r="A33" s="1" t="s">
        <v>19</v>
      </c>
      <c r="B33" s="1" t="s">
        <v>34</v>
      </c>
      <c r="C33" s="1">
        <v>5987</v>
      </c>
      <c r="D33" s="1">
        <v>0.59899999999999998</v>
      </c>
    </row>
    <row r="34" spans="1:4">
      <c r="A34" s="1" t="s">
        <v>20</v>
      </c>
      <c r="B34" s="1" t="s">
        <v>33</v>
      </c>
      <c r="C34" s="1">
        <v>6924</v>
      </c>
      <c r="D34" s="1">
        <v>0.69199999999999995</v>
      </c>
    </row>
    <row r="35" spans="1:4">
      <c r="A35" s="1" t="s">
        <v>20</v>
      </c>
      <c r="B35" s="1" t="s">
        <v>34</v>
      </c>
      <c r="C35" s="1">
        <v>9677</v>
      </c>
      <c r="D35" s="1">
        <v>0.96799999999999997</v>
      </c>
    </row>
    <row r="36" spans="1:4">
      <c r="A36" s="1" t="s">
        <v>21</v>
      </c>
      <c r="B36" s="1" t="s">
        <v>33</v>
      </c>
      <c r="C36" s="1">
        <v>17978</v>
      </c>
      <c r="D36" s="1">
        <v>1.798</v>
      </c>
    </row>
    <row r="37" spans="1:4">
      <c r="A37" s="1" t="s">
        <v>21</v>
      </c>
      <c r="B37" s="1" t="s">
        <v>34</v>
      </c>
      <c r="C37" s="1">
        <v>21860</v>
      </c>
      <c r="D37" s="1">
        <v>2.1859999999999999</v>
      </c>
    </row>
    <row r="38" spans="1:4">
      <c r="A38" s="1" t="s">
        <v>22</v>
      </c>
      <c r="B38" s="1" t="s">
        <v>33</v>
      </c>
      <c r="C38" s="1">
        <v>17649</v>
      </c>
      <c r="D38" s="1">
        <v>1.7649999999999999</v>
      </c>
    </row>
    <row r="39" spans="1:4">
      <c r="A39" s="1" t="s">
        <v>22</v>
      </c>
      <c r="B39" s="1" t="s">
        <v>34</v>
      </c>
      <c r="C39" s="1">
        <v>17827</v>
      </c>
      <c r="D39" s="1">
        <v>1.7829999999999999</v>
      </c>
    </row>
    <row r="40" spans="1:4">
      <c r="A40" s="1" t="s">
        <v>23</v>
      </c>
      <c r="B40" s="1" t="s">
        <v>33</v>
      </c>
      <c r="C40" s="1">
        <v>555</v>
      </c>
      <c r="D40" s="1">
        <v>5.6000000000000001E-2</v>
      </c>
    </row>
    <row r="41" spans="1:4">
      <c r="A41" s="1" t="s">
        <v>23</v>
      </c>
      <c r="B41" s="1" t="s">
        <v>34</v>
      </c>
      <c r="C41" s="1">
        <v>692</v>
      </c>
      <c r="D41" s="1">
        <v>6.9000000000000006E-2</v>
      </c>
    </row>
    <row r="42" spans="1:4">
      <c r="A42" s="1" t="s">
        <v>24</v>
      </c>
      <c r="B42" s="1" t="s">
        <v>33</v>
      </c>
      <c r="C42" s="1">
        <v>28139</v>
      </c>
      <c r="D42" s="1">
        <v>2.8140000000000001</v>
      </c>
    </row>
    <row r="43" spans="1:4">
      <c r="A43" s="1" t="s">
        <v>24</v>
      </c>
      <c r="B43" s="1" t="s">
        <v>34</v>
      </c>
      <c r="C43" s="1">
        <v>28394</v>
      </c>
      <c r="D43" s="1">
        <v>2.839</v>
      </c>
    </row>
    <row r="44" spans="1:4">
      <c r="A44" s="1" t="s">
        <v>25</v>
      </c>
      <c r="B44" s="1" t="s">
        <v>33</v>
      </c>
      <c r="C44" s="1">
        <v>35867</v>
      </c>
      <c r="D44" s="1">
        <v>3.5870000000000002</v>
      </c>
    </row>
    <row r="45" spans="1:4">
      <c r="A45" s="1" t="s">
        <v>25</v>
      </c>
      <c r="B45" s="1" t="s">
        <v>34</v>
      </c>
      <c r="C45" s="1">
        <v>38781</v>
      </c>
      <c r="D45" s="1">
        <v>3.8780000000000001</v>
      </c>
    </row>
    <row r="46" spans="1:4">
      <c r="A46" s="1" t="s">
        <v>26</v>
      </c>
      <c r="B46" s="1" t="s">
        <v>33</v>
      </c>
      <c r="C46" s="1">
        <v>27971</v>
      </c>
      <c r="D46" s="1">
        <v>2.7970000000000002</v>
      </c>
    </row>
    <row r="47" spans="1:4">
      <c r="A47" s="1" t="s">
        <v>26</v>
      </c>
      <c r="B47" s="1" t="s">
        <v>34</v>
      </c>
      <c r="C47" s="1">
        <v>37388</v>
      </c>
      <c r="D47" s="1">
        <v>3.7389999999999999</v>
      </c>
    </row>
    <row r="48" spans="1:4">
      <c r="A48" s="1" t="s">
        <v>27</v>
      </c>
      <c r="B48" s="1" t="s">
        <v>33</v>
      </c>
      <c r="C48" s="1">
        <v>4449</v>
      </c>
      <c r="D48" s="1">
        <v>0.44500000000000001</v>
      </c>
    </row>
    <row r="49" spans="1:4">
      <c r="A49" s="1" t="s">
        <v>27</v>
      </c>
      <c r="B49" s="1" t="s">
        <v>34</v>
      </c>
      <c r="C49" s="1">
        <v>5141</v>
      </c>
      <c r="D49" s="1">
        <v>0.51400000000000001</v>
      </c>
    </row>
    <row r="50" spans="1:4">
      <c r="A50" s="1" t="s">
        <v>28</v>
      </c>
      <c r="B50" s="1" t="s">
        <v>33</v>
      </c>
      <c r="C50" s="1">
        <v>3834</v>
      </c>
      <c r="D50" s="1">
        <v>0.38300000000000001</v>
      </c>
    </row>
    <row r="51" spans="1:4">
      <c r="A51" s="1" t="s">
        <v>28</v>
      </c>
      <c r="B51" s="1" t="s">
        <v>34</v>
      </c>
      <c r="C51" s="1">
        <v>4589</v>
      </c>
      <c r="D51" s="1">
        <v>0.45900000000000002</v>
      </c>
    </row>
    <row r="52" spans="1:4">
      <c r="A52" s="1" t="s">
        <v>29</v>
      </c>
      <c r="B52" s="1" t="s">
        <v>33</v>
      </c>
      <c r="C52" s="1">
        <v>11943</v>
      </c>
      <c r="D52" s="1">
        <v>1.194</v>
      </c>
    </row>
    <row r="53" spans="1:4">
      <c r="A53" s="1" t="s">
        <v>29</v>
      </c>
      <c r="B53" s="1" t="s">
        <v>34</v>
      </c>
      <c r="C53" s="1">
        <v>14201</v>
      </c>
      <c r="D53" s="1">
        <v>1.42</v>
      </c>
    </row>
    <row r="54" spans="1:4">
      <c r="A54" s="1" t="s">
        <v>30</v>
      </c>
      <c r="B54" s="1" t="s">
        <v>33</v>
      </c>
      <c r="C54" s="1">
        <v>20642</v>
      </c>
      <c r="D54" s="1">
        <v>2.0640000000000001</v>
      </c>
    </row>
    <row r="55" spans="1:4">
      <c r="A55" s="1" t="s">
        <v>30</v>
      </c>
      <c r="B55" s="1" t="s">
        <v>34</v>
      </c>
      <c r="C55" s="1">
        <v>21990</v>
      </c>
      <c r="D55" s="1">
        <v>2.1989999999999998</v>
      </c>
    </row>
    <row r="56" spans="1:4">
      <c r="C56" s="5"/>
      <c r="D56" s="7"/>
    </row>
    <row r="57" spans="1:4">
      <c r="A57" s="6" t="s">
        <v>37</v>
      </c>
    </row>
    <row r="58" spans="1:4">
      <c r="A58" t="s">
        <v>33</v>
      </c>
      <c r="B58">
        <f>GEOMEAN(D2,D4,D6,D8,D10,D12,D14,D16,D18,D20,D22,D24,D26,D28,D30,D32,D34,D36,D38,D40,D42,D44,D46,D48,D50,D52,D54)</f>
        <v>0.90517355766277907</v>
      </c>
    </row>
    <row r="59" spans="1:4">
      <c r="A59" t="s">
        <v>34</v>
      </c>
      <c r="B59">
        <f>GEOMEAN(D3,D5,D7,D9,D11,D13,D15,D17,D19,D21,D23,D25,D27,D29,D31,D33,D35,D37,D39,D41,D43,D45,D47,D49,D51,D53,D55)</f>
        <v>1.0920231053976126</v>
      </c>
    </row>
  </sheetData>
  <pageMargins left="0" right="0" top="0.39370078740157483" bottom="0.39370078740157483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0A25A-095A-4109-B7C3-A8CC891F9261}">
  <dimension ref="A1:D143"/>
  <sheetViews>
    <sheetView topLeftCell="A35" workbookViewId="0">
      <selection activeCell="M136" sqref="M136"/>
    </sheetView>
  </sheetViews>
  <sheetFormatPr defaultRowHeight="13.2"/>
  <cols>
    <col min="1" max="1" width="27.109375" customWidth="1"/>
    <col min="2" max="2" width="11.88671875" customWidth="1"/>
    <col min="3" max="3" width="17.21875" customWidth="1"/>
    <col min="4" max="4" width="11.88671875" customWidth="1"/>
  </cols>
  <sheetData>
    <row r="1" spans="1:4">
      <c r="A1" s="1" t="s">
        <v>0</v>
      </c>
      <c r="B1" s="1" t="s">
        <v>35</v>
      </c>
      <c r="C1" s="1" t="s">
        <v>2</v>
      </c>
      <c r="D1" s="1" t="s">
        <v>3</v>
      </c>
    </row>
    <row r="2" spans="1:4">
      <c r="A2" s="1" t="s">
        <v>30</v>
      </c>
      <c r="B2" s="1">
        <v>8</v>
      </c>
      <c r="C2" s="1">
        <v>20714</v>
      </c>
      <c r="D2" s="1">
        <v>2.0710000000000002</v>
      </c>
    </row>
    <row r="3" spans="1:4">
      <c r="A3" s="1" t="s">
        <v>30</v>
      </c>
      <c r="B3" s="1">
        <v>64</v>
      </c>
      <c r="C3" s="1">
        <v>20639</v>
      </c>
      <c r="D3" s="1">
        <v>2.0640000000000001</v>
      </c>
    </row>
    <row r="4" spans="1:4">
      <c r="A4" s="1" t="s">
        <v>30</v>
      </c>
      <c r="B4" s="1">
        <v>32</v>
      </c>
      <c r="C4" s="1">
        <v>20642</v>
      </c>
      <c r="D4" s="1">
        <v>2.0640000000000001</v>
      </c>
    </row>
    <row r="5" spans="1:4">
      <c r="A5" s="1" t="s">
        <v>30</v>
      </c>
      <c r="B5" s="1">
        <v>16</v>
      </c>
      <c r="C5" s="1">
        <v>20650</v>
      </c>
      <c r="D5" s="1">
        <v>2.0649999999999999</v>
      </c>
    </row>
    <row r="6" spans="1:4">
      <c r="A6" s="1" t="s">
        <v>30</v>
      </c>
      <c r="B6" s="1">
        <v>128</v>
      </c>
      <c r="C6" s="1">
        <v>20637</v>
      </c>
      <c r="D6" s="1">
        <v>2.0640000000000001</v>
      </c>
    </row>
    <row r="7" spans="1:4">
      <c r="A7" s="1" t="s">
        <v>29</v>
      </c>
      <c r="B7" s="1">
        <v>8</v>
      </c>
      <c r="C7" s="1">
        <v>15856</v>
      </c>
      <c r="D7" s="1">
        <v>1.5860000000000001</v>
      </c>
    </row>
    <row r="8" spans="1:4">
      <c r="A8" s="1" t="s">
        <v>29</v>
      </c>
      <c r="B8" s="1">
        <v>64</v>
      </c>
      <c r="C8" s="1">
        <v>11364</v>
      </c>
      <c r="D8" s="1">
        <v>1.1359999999999999</v>
      </c>
    </row>
    <row r="9" spans="1:4">
      <c r="A9" s="1" t="s">
        <v>29</v>
      </c>
      <c r="B9" s="1">
        <v>32</v>
      </c>
      <c r="C9" s="1">
        <v>11943</v>
      </c>
      <c r="D9" s="1">
        <v>1.194</v>
      </c>
    </row>
    <row r="10" spans="1:4">
      <c r="A10" s="1" t="s">
        <v>29</v>
      </c>
      <c r="B10" s="1">
        <v>16</v>
      </c>
      <c r="C10" s="1">
        <v>12627</v>
      </c>
      <c r="D10" s="1">
        <v>1.2629999999999999</v>
      </c>
    </row>
    <row r="11" spans="1:4">
      <c r="A11" s="1" t="s">
        <v>29</v>
      </c>
      <c r="B11" s="1">
        <v>128</v>
      </c>
      <c r="C11" s="1">
        <v>10660</v>
      </c>
      <c r="D11" s="1">
        <v>1.0660000000000001</v>
      </c>
    </row>
    <row r="12" spans="1:4">
      <c r="A12" s="1" t="s">
        <v>28</v>
      </c>
      <c r="B12" s="1">
        <v>8</v>
      </c>
      <c r="C12" s="1">
        <v>5962</v>
      </c>
      <c r="D12" s="1">
        <v>0.59599999999999997</v>
      </c>
    </row>
    <row r="13" spans="1:4">
      <c r="A13" s="1" t="s">
        <v>28</v>
      </c>
      <c r="B13" s="1">
        <v>64</v>
      </c>
      <c r="C13" s="1">
        <v>2814</v>
      </c>
      <c r="D13" s="1">
        <v>0.28100000000000003</v>
      </c>
    </row>
    <row r="14" spans="1:4">
      <c r="A14" s="1" t="s">
        <v>28</v>
      </c>
      <c r="B14" s="1">
        <v>32</v>
      </c>
      <c r="C14" s="1">
        <v>3834</v>
      </c>
      <c r="D14" s="1">
        <v>0.38300000000000001</v>
      </c>
    </row>
    <row r="15" spans="1:4">
      <c r="A15" s="1" t="s">
        <v>28</v>
      </c>
      <c r="B15" s="1">
        <v>16</v>
      </c>
      <c r="C15" s="1">
        <v>5123</v>
      </c>
      <c r="D15" s="1">
        <v>0.51200000000000001</v>
      </c>
    </row>
    <row r="16" spans="1:4">
      <c r="A16" s="1" t="s">
        <v>28</v>
      </c>
      <c r="B16" s="1">
        <v>128</v>
      </c>
      <c r="C16" s="1">
        <v>2760</v>
      </c>
      <c r="D16" s="1">
        <v>0.27600000000000002</v>
      </c>
    </row>
    <row r="17" spans="1:4">
      <c r="A17" s="1" t="s">
        <v>27</v>
      </c>
      <c r="B17" s="1">
        <v>8</v>
      </c>
      <c r="C17" s="1">
        <v>4765</v>
      </c>
      <c r="D17" s="1">
        <v>0.47599999999999998</v>
      </c>
    </row>
    <row r="18" spans="1:4">
      <c r="A18" s="1" t="s">
        <v>27</v>
      </c>
      <c r="B18" s="1">
        <v>64</v>
      </c>
      <c r="C18" s="1">
        <v>3716</v>
      </c>
      <c r="D18" s="1">
        <v>0.372</v>
      </c>
    </row>
    <row r="19" spans="1:4">
      <c r="A19" s="1" t="s">
        <v>27</v>
      </c>
      <c r="B19" s="1">
        <v>32</v>
      </c>
      <c r="C19" s="1">
        <v>4449</v>
      </c>
      <c r="D19" s="1">
        <v>0.44500000000000001</v>
      </c>
    </row>
    <row r="20" spans="1:4">
      <c r="A20" s="1" t="s">
        <v>27</v>
      </c>
      <c r="B20" s="1">
        <v>16</v>
      </c>
      <c r="C20" s="1">
        <v>4640</v>
      </c>
      <c r="D20" s="1">
        <v>0.46400000000000002</v>
      </c>
    </row>
    <row r="21" spans="1:4">
      <c r="A21" s="1" t="s">
        <v>27</v>
      </c>
      <c r="B21" s="1">
        <v>128</v>
      </c>
      <c r="C21" s="1">
        <v>2866</v>
      </c>
      <c r="D21" s="1">
        <v>0.28699999999999998</v>
      </c>
    </row>
    <row r="22" spans="1:4">
      <c r="A22" s="1" t="s">
        <v>26</v>
      </c>
      <c r="B22" s="1">
        <v>8</v>
      </c>
      <c r="C22" s="1">
        <v>91543</v>
      </c>
      <c r="D22" s="1">
        <v>9.1539999999999999</v>
      </c>
    </row>
    <row r="23" spans="1:4">
      <c r="A23" s="1" t="s">
        <v>26</v>
      </c>
      <c r="B23" s="1">
        <v>64</v>
      </c>
      <c r="C23" s="1">
        <v>17547</v>
      </c>
      <c r="D23" s="1">
        <v>1.7549999999999999</v>
      </c>
    </row>
    <row r="24" spans="1:4">
      <c r="A24" s="1" t="s">
        <v>26</v>
      </c>
      <c r="B24" s="1">
        <v>32</v>
      </c>
      <c r="C24" s="1">
        <v>27971</v>
      </c>
      <c r="D24" s="1">
        <v>2.7970000000000002</v>
      </c>
    </row>
    <row r="25" spans="1:4">
      <c r="A25" s="1" t="s">
        <v>26</v>
      </c>
      <c r="B25" s="1">
        <v>16</v>
      </c>
      <c r="C25" s="1">
        <v>73374</v>
      </c>
      <c r="D25" s="1">
        <v>7.3369999999999997</v>
      </c>
    </row>
    <row r="26" spans="1:4">
      <c r="A26" s="1" t="s">
        <v>26</v>
      </c>
      <c r="B26" s="1">
        <v>128</v>
      </c>
      <c r="C26" s="1">
        <v>16512</v>
      </c>
      <c r="D26" s="1">
        <v>1.651</v>
      </c>
    </row>
    <row r="27" spans="1:4">
      <c r="A27" s="1" t="s">
        <v>25</v>
      </c>
      <c r="B27" s="1">
        <v>8</v>
      </c>
      <c r="C27" s="1">
        <v>35913</v>
      </c>
      <c r="D27" s="1">
        <v>3.5910000000000002</v>
      </c>
    </row>
    <row r="28" spans="1:4">
      <c r="A28" s="1" t="s">
        <v>25</v>
      </c>
      <c r="B28" s="1">
        <v>64</v>
      </c>
      <c r="C28" s="1">
        <v>35867</v>
      </c>
      <c r="D28" s="1">
        <v>3.5870000000000002</v>
      </c>
    </row>
    <row r="29" spans="1:4">
      <c r="A29" s="1" t="s">
        <v>25</v>
      </c>
      <c r="B29" s="1">
        <v>32</v>
      </c>
      <c r="C29" s="1">
        <v>35867</v>
      </c>
      <c r="D29" s="1">
        <v>3.5870000000000002</v>
      </c>
    </row>
    <row r="30" spans="1:4">
      <c r="A30" s="1" t="s">
        <v>25</v>
      </c>
      <c r="B30" s="1">
        <v>16</v>
      </c>
      <c r="C30" s="1">
        <v>35867</v>
      </c>
      <c r="D30" s="1">
        <v>3.5870000000000002</v>
      </c>
    </row>
    <row r="31" spans="1:4">
      <c r="A31" s="1" t="s">
        <v>25</v>
      </c>
      <c r="B31" s="1">
        <v>128</v>
      </c>
      <c r="C31" s="1">
        <v>23809</v>
      </c>
      <c r="D31" s="1">
        <v>2.3809999999999998</v>
      </c>
    </row>
    <row r="32" spans="1:4">
      <c r="A32" s="4" t="s">
        <v>24</v>
      </c>
      <c r="B32" s="4">
        <v>8</v>
      </c>
      <c r="C32" s="4">
        <v>28140</v>
      </c>
      <c r="D32" s="4">
        <v>2.8140000000000001</v>
      </c>
    </row>
    <row r="33" spans="1:4">
      <c r="A33" s="4" t="s">
        <v>24</v>
      </c>
      <c r="B33" s="4">
        <v>64</v>
      </c>
      <c r="C33" s="4">
        <v>28139</v>
      </c>
      <c r="D33" s="4">
        <v>2.8140000000000001</v>
      </c>
    </row>
    <row r="34" spans="1:4">
      <c r="A34" s="4" t="s">
        <v>24</v>
      </c>
      <c r="B34" s="4">
        <v>32</v>
      </c>
      <c r="C34" s="4">
        <v>28139</v>
      </c>
      <c r="D34" s="4">
        <v>2.8140000000000001</v>
      </c>
    </row>
    <row r="35" spans="1:4">
      <c r="A35" s="4" t="s">
        <v>24</v>
      </c>
      <c r="B35" s="4">
        <v>16</v>
      </c>
      <c r="C35" s="4">
        <v>28139</v>
      </c>
      <c r="D35" s="4">
        <v>2.8140000000000001</v>
      </c>
    </row>
    <row r="36" spans="1:4">
      <c r="A36" s="4" t="s">
        <v>24</v>
      </c>
      <c r="B36" s="4">
        <v>128</v>
      </c>
      <c r="C36" s="4">
        <v>28139</v>
      </c>
      <c r="D36" s="4">
        <v>2.8140000000000001</v>
      </c>
    </row>
    <row r="37" spans="1:4">
      <c r="A37" s="1" t="s">
        <v>23</v>
      </c>
      <c r="B37" s="1">
        <v>8</v>
      </c>
      <c r="C37" s="1">
        <v>2855</v>
      </c>
      <c r="D37" s="1">
        <v>0.28499999999999998</v>
      </c>
    </row>
    <row r="38" spans="1:4">
      <c r="A38" s="1" t="s">
        <v>23</v>
      </c>
      <c r="B38" s="1">
        <v>64</v>
      </c>
      <c r="C38" s="1">
        <v>555</v>
      </c>
      <c r="D38" s="1">
        <v>5.6000000000000001E-2</v>
      </c>
    </row>
    <row r="39" spans="1:4">
      <c r="A39" s="1" t="s">
        <v>23</v>
      </c>
      <c r="B39" s="1">
        <v>32</v>
      </c>
      <c r="C39" s="1">
        <v>555</v>
      </c>
      <c r="D39" s="1">
        <v>5.6000000000000001E-2</v>
      </c>
    </row>
    <row r="40" spans="1:4">
      <c r="A40" s="1" t="s">
        <v>23</v>
      </c>
      <c r="B40" s="1">
        <v>16</v>
      </c>
      <c r="C40" s="1">
        <v>557</v>
      </c>
      <c r="D40" s="1">
        <v>5.6000000000000001E-2</v>
      </c>
    </row>
    <row r="41" spans="1:4">
      <c r="A41" s="1" t="s">
        <v>23</v>
      </c>
      <c r="B41" s="1">
        <v>128</v>
      </c>
      <c r="C41" s="1">
        <v>555</v>
      </c>
      <c r="D41" s="1">
        <v>5.6000000000000001E-2</v>
      </c>
    </row>
    <row r="42" spans="1:4">
      <c r="A42" s="1" t="s">
        <v>22</v>
      </c>
      <c r="B42" s="1">
        <v>8</v>
      </c>
      <c r="C42" s="1">
        <v>17649</v>
      </c>
      <c r="D42" s="1">
        <v>1.7649999999999999</v>
      </c>
    </row>
    <row r="43" spans="1:4">
      <c r="A43" s="1" t="s">
        <v>22</v>
      </c>
      <c r="B43" s="1">
        <v>64</v>
      </c>
      <c r="C43" s="1">
        <v>17649</v>
      </c>
      <c r="D43" s="1">
        <v>1.7649999999999999</v>
      </c>
    </row>
    <row r="44" spans="1:4">
      <c r="A44" s="1" t="s">
        <v>22</v>
      </c>
      <c r="B44" s="1">
        <v>32</v>
      </c>
      <c r="C44" s="1">
        <v>17649</v>
      </c>
      <c r="D44" s="1">
        <v>1.7649999999999999</v>
      </c>
    </row>
    <row r="45" spans="1:4">
      <c r="A45" s="1" t="s">
        <v>22</v>
      </c>
      <c r="B45" s="1">
        <v>16</v>
      </c>
      <c r="C45" s="1">
        <v>17649</v>
      </c>
      <c r="D45" s="1">
        <v>1.7649999999999999</v>
      </c>
    </row>
    <row r="46" spans="1:4">
      <c r="A46" s="1" t="s">
        <v>22</v>
      </c>
      <c r="B46" s="1">
        <v>128</v>
      </c>
      <c r="C46" s="1">
        <v>17649</v>
      </c>
      <c r="D46" s="1">
        <v>1.7649999999999999</v>
      </c>
    </row>
    <row r="47" spans="1:4">
      <c r="A47" s="1" t="s">
        <v>21</v>
      </c>
      <c r="B47" s="1">
        <v>8</v>
      </c>
      <c r="C47" s="1">
        <v>22920</v>
      </c>
      <c r="D47" s="1">
        <v>2.2919999999999998</v>
      </c>
    </row>
    <row r="48" spans="1:4">
      <c r="A48" s="1" t="s">
        <v>21</v>
      </c>
      <c r="B48" s="1">
        <v>64</v>
      </c>
      <c r="C48" s="1">
        <v>17753</v>
      </c>
      <c r="D48" s="1">
        <v>1.7749999999999999</v>
      </c>
    </row>
    <row r="49" spans="1:4">
      <c r="A49" s="1" t="s">
        <v>21</v>
      </c>
      <c r="B49" s="1">
        <v>32</v>
      </c>
      <c r="C49" s="1">
        <v>17978</v>
      </c>
      <c r="D49" s="1">
        <v>1.798</v>
      </c>
    </row>
    <row r="50" spans="1:4">
      <c r="A50" s="1" t="s">
        <v>21</v>
      </c>
      <c r="B50" s="1">
        <v>16</v>
      </c>
      <c r="C50" s="1">
        <v>18982</v>
      </c>
      <c r="D50" s="1">
        <v>1.8979999999999999</v>
      </c>
    </row>
    <row r="51" spans="1:4">
      <c r="A51" s="1" t="s">
        <v>21</v>
      </c>
      <c r="B51" s="1">
        <v>128</v>
      </c>
      <c r="C51" s="1">
        <v>17753</v>
      </c>
      <c r="D51" s="1">
        <v>1.7749999999999999</v>
      </c>
    </row>
    <row r="52" spans="1:4">
      <c r="A52" s="1" t="s">
        <v>20</v>
      </c>
      <c r="B52" s="1">
        <v>8</v>
      </c>
      <c r="C52" s="1">
        <v>36554</v>
      </c>
      <c r="D52" s="1">
        <v>3.6549999999999998</v>
      </c>
    </row>
    <row r="53" spans="1:4">
      <c r="A53" s="1" t="s">
        <v>20</v>
      </c>
      <c r="B53" s="1">
        <v>64</v>
      </c>
      <c r="C53" s="1">
        <v>1742</v>
      </c>
      <c r="D53" s="1">
        <v>0.17399999999999999</v>
      </c>
    </row>
    <row r="54" spans="1:4">
      <c r="A54" s="1" t="s">
        <v>20</v>
      </c>
      <c r="B54" s="1">
        <v>32</v>
      </c>
      <c r="C54" s="1">
        <v>6924</v>
      </c>
      <c r="D54" s="1">
        <v>0.69199999999999995</v>
      </c>
    </row>
    <row r="55" spans="1:4">
      <c r="A55" s="1" t="s">
        <v>20</v>
      </c>
      <c r="B55" s="1">
        <v>16</v>
      </c>
      <c r="C55" s="1">
        <v>21201</v>
      </c>
      <c r="D55" s="1">
        <v>2.12</v>
      </c>
    </row>
    <row r="56" spans="1:4">
      <c r="A56" s="1" t="s">
        <v>20</v>
      </c>
      <c r="B56" s="1">
        <v>128</v>
      </c>
      <c r="C56" s="1">
        <v>1220</v>
      </c>
      <c r="D56" s="1">
        <v>0.122</v>
      </c>
    </row>
    <row r="57" spans="1:4">
      <c r="A57" s="1" t="s">
        <v>19</v>
      </c>
      <c r="B57" s="1">
        <v>8</v>
      </c>
      <c r="C57" s="1">
        <v>11317</v>
      </c>
      <c r="D57" s="1">
        <v>1.1319999999999999</v>
      </c>
    </row>
    <row r="58" spans="1:4">
      <c r="A58" s="1" t="s">
        <v>19</v>
      </c>
      <c r="B58" s="1">
        <v>64</v>
      </c>
      <c r="C58" s="1">
        <v>3343</v>
      </c>
      <c r="D58" s="1">
        <v>0.33400000000000002</v>
      </c>
    </row>
    <row r="59" spans="1:4">
      <c r="A59" s="1" t="s">
        <v>19</v>
      </c>
      <c r="B59" s="1">
        <v>32</v>
      </c>
      <c r="C59" s="1">
        <v>4097</v>
      </c>
      <c r="D59" s="1">
        <v>0.41</v>
      </c>
    </row>
    <row r="60" spans="1:4">
      <c r="A60" s="1" t="s">
        <v>19</v>
      </c>
      <c r="B60" s="1">
        <v>16</v>
      </c>
      <c r="C60" s="1">
        <v>9333</v>
      </c>
      <c r="D60" s="1">
        <v>0.93300000000000005</v>
      </c>
    </row>
    <row r="61" spans="1:4">
      <c r="A61" s="1" t="s">
        <v>19</v>
      </c>
      <c r="B61" s="1">
        <v>128</v>
      </c>
      <c r="C61" s="1">
        <v>2960</v>
      </c>
      <c r="D61" s="1">
        <v>0.29599999999999999</v>
      </c>
    </row>
    <row r="62" spans="1:4">
      <c r="A62" s="1" t="s">
        <v>18</v>
      </c>
      <c r="B62" s="1">
        <v>8</v>
      </c>
      <c r="C62" s="1">
        <v>520</v>
      </c>
      <c r="D62" s="1">
        <v>5.1999999999999998E-2</v>
      </c>
    </row>
    <row r="63" spans="1:4">
      <c r="A63" s="1" t="s">
        <v>18</v>
      </c>
      <c r="B63" s="1">
        <v>64</v>
      </c>
      <c r="C63" s="1">
        <v>418</v>
      </c>
      <c r="D63" s="1">
        <v>4.2000000000000003E-2</v>
      </c>
    </row>
    <row r="64" spans="1:4">
      <c r="A64" s="1" t="s">
        <v>18</v>
      </c>
      <c r="B64" s="1">
        <v>32</v>
      </c>
      <c r="C64" s="1">
        <v>420</v>
      </c>
      <c r="D64" s="1">
        <v>4.2000000000000003E-2</v>
      </c>
    </row>
    <row r="65" spans="1:4">
      <c r="A65" s="1" t="s">
        <v>18</v>
      </c>
      <c r="B65" s="1">
        <v>16</v>
      </c>
      <c r="C65" s="1">
        <v>469</v>
      </c>
      <c r="D65" s="1">
        <v>4.7E-2</v>
      </c>
    </row>
    <row r="66" spans="1:4">
      <c r="A66" s="1" t="s">
        <v>18</v>
      </c>
      <c r="B66" s="1">
        <v>128</v>
      </c>
      <c r="C66" s="1">
        <v>418</v>
      </c>
      <c r="D66" s="1">
        <v>4.2000000000000003E-2</v>
      </c>
    </row>
    <row r="67" spans="1:4">
      <c r="A67" s="1" t="s">
        <v>17</v>
      </c>
      <c r="B67" s="1">
        <v>8</v>
      </c>
      <c r="C67" s="1">
        <v>37171</v>
      </c>
      <c r="D67" s="1">
        <v>3.7170000000000001</v>
      </c>
    </row>
    <row r="68" spans="1:4">
      <c r="A68" s="1" t="s">
        <v>17</v>
      </c>
      <c r="B68" s="1">
        <v>64</v>
      </c>
      <c r="C68" s="1">
        <v>12368</v>
      </c>
      <c r="D68" s="1">
        <v>1.2370000000000001</v>
      </c>
    </row>
    <row r="69" spans="1:4">
      <c r="A69" s="1" t="s">
        <v>17</v>
      </c>
      <c r="B69" s="1">
        <v>32</v>
      </c>
      <c r="C69" s="1">
        <v>25001</v>
      </c>
      <c r="D69" s="1">
        <v>2.5</v>
      </c>
    </row>
    <row r="70" spans="1:4">
      <c r="A70" s="1" t="s">
        <v>17</v>
      </c>
      <c r="B70" s="1">
        <v>16</v>
      </c>
      <c r="C70" s="1">
        <v>29787</v>
      </c>
      <c r="D70" s="1">
        <v>2.9790000000000001</v>
      </c>
    </row>
    <row r="71" spans="1:4">
      <c r="A71" s="1" t="s">
        <v>17</v>
      </c>
      <c r="B71" s="1">
        <v>128</v>
      </c>
      <c r="C71" s="1">
        <v>2918</v>
      </c>
      <c r="D71" s="1">
        <v>0.29199999999999998</v>
      </c>
    </row>
    <row r="72" spans="1:4">
      <c r="A72" s="1" t="s">
        <v>16</v>
      </c>
      <c r="B72" s="1">
        <v>8</v>
      </c>
      <c r="C72" s="1">
        <v>76096</v>
      </c>
      <c r="D72" s="1">
        <v>7.61</v>
      </c>
    </row>
    <row r="73" spans="1:4">
      <c r="A73" s="1" t="s">
        <v>16</v>
      </c>
      <c r="B73" s="1">
        <v>64</v>
      </c>
      <c r="C73" s="1">
        <v>61798</v>
      </c>
      <c r="D73" s="1">
        <v>6.18</v>
      </c>
    </row>
    <row r="74" spans="1:4">
      <c r="A74" s="1" t="s">
        <v>16</v>
      </c>
      <c r="B74" s="1">
        <v>32</v>
      </c>
      <c r="C74" s="1">
        <v>67734</v>
      </c>
      <c r="D74" s="1">
        <v>6.7729999999999997</v>
      </c>
    </row>
    <row r="75" spans="1:4">
      <c r="A75" s="1" t="s">
        <v>16</v>
      </c>
      <c r="B75" s="1">
        <v>16</v>
      </c>
      <c r="C75" s="1">
        <v>72354</v>
      </c>
      <c r="D75" s="1">
        <v>7.2350000000000003</v>
      </c>
    </row>
    <row r="76" spans="1:4">
      <c r="A76" s="1" t="s">
        <v>16</v>
      </c>
      <c r="B76" s="1">
        <v>128</v>
      </c>
      <c r="C76" s="1">
        <v>55180</v>
      </c>
      <c r="D76" s="1">
        <v>5.5179999999999998</v>
      </c>
    </row>
    <row r="77" spans="1:4">
      <c r="A77" s="1" t="s">
        <v>15</v>
      </c>
      <c r="B77" s="1">
        <v>8</v>
      </c>
      <c r="C77" s="1">
        <v>63246</v>
      </c>
      <c r="D77" s="1">
        <v>6.3250000000000002</v>
      </c>
    </row>
    <row r="78" spans="1:4">
      <c r="A78" s="1" t="s">
        <v>15</v>
      </c>
      <c r="B78" s="1">
        <v>64</v>
      </c>
      <c r="C78" s="1">
        <v>3230</v>
      </c>
      <c r="D78" s="1">
        <v>0.32300000000000001</v>
      </c>
    </row>
    <row r="79" spans="1:4">
      <c r="A79" s="1" t="s">
        <v>15</v>
      </c>
      <c r="B79" s="1">
        <v>32</v>
      </c>
      <c r="C79" s="1">
        <v>11407</v>
      </c>
      <c r="D79" s="1">
        <v>1.141</v>
      </c>
    </row>
    <row r="80" spans="1:4">
      <c r="A80" s="1" t="s">
        <v>15</v>
      </c>
      <c r="B80" s="1">
        <v>16</v>
      </c>
      <c r="C80" s="1">
        <v>33628</v>
      </c>
      <c r="D80" s="1">
        <v>3.363</v>
      </c>
    </row>
    <row r="81" spans="1:4">
      <c r="A81" s="1" t="s">
        <v>15</v>
      </c>
      <c r="B81" s="1">
        <v>128</v>
      </c>
      <c r="C81" s="1">
        <v>1439</v>
      </c>
      <c r="D81" s="1">
        <v>0.14399999999999999</v>
      </c>
    </row>
    <row r="82" spans="1:4">
      <c r="A82" s="1" t="s">
        <v>14</v>
      </c>
      <c r="B82" s="1">
        <v>8</v>
      </c>
      <c r="C82" s="1">
        <v>21166</v>
      </c>
      <c r="D82" s="1">
        <v>2.117</v>
      </c>
    </row>
    <row r="83" spans="1:4">
      <c r="A83" s="1" t="s">
        <v>14</v>
      </c>
      <c r="B83" s="1">
        <v>64</v>
      </c>
      <c r="C83" s="1">
        <v>1133</v>
      </c>
      <c r="D83" s="1">
        <v>0.113</v>
      </c>
    </row>
    <row r="84" spans="1:4">
      <c r="A84" s="1" t="s">
        <v>14</v>
      </c>
      <c r="B84" s="1">
        <v>32</v>
      </c>
      <c r="C84" s="1">
        <v>4368</v>
      </c>
      <c r="D84" s="1">
        <v>0.437</v>
      </c>
    </row>
    <row r="85" spans="1:4">
      <c r="A85" s="1" t="s">
        <v>14</v>
      </c>
      <c r="B85" s="1">
        <v>16</v>
      </c>
      <c r="C85" s="1">
        <v>14345</v>
      </c>
      <c r="D85" s="1">
        <v>1.4350000000000001</v>
      </c>
    </row>
    <row r="86" spans="1:4">
      <c r="A86" s="1" t="s">
        <v>14</v>
      </c>
      <c r="B86" s="1">
        <v>128</v>
      </c>
      <c r="C86" s="1">
        <v>991</v>
      </c>
      <c r="D86" s="1">
        <v>9.9000000000000005E-2</v>
      </c>
    </row>
    <row r="87" spans="1:4">
      <c r="A87" s="1" t="s">
        <v>13</v>
      </c>
      <c r="B87" s="1">
        <v>8</v>
      </c>
      <c r="C87" s="1">
        <v>3968</v>
      </c>
      <c r="D87" s="1">
        <v>0.39700000000000002</v>
      </c>
    </row>
    <row r="88" spans="1:4">
      <c r="A88" s="1" t="s">
        <v>13</v>
      </c>
      <c r="B88" s="1">
        <v>64</v>
      </c>
      <c r="C88" s="1">
        <v>3968</v>
      </c>
      <c r="D88" s="1">
        <v>0.39700000000000002</v>
      </c>
    </row>
    <row r="89" spans="1:4">
      <c r="A89" s="1" t="s">
        <v>13</v>
      </c>
      <c r="B89" s="1">
        <v>32</v>
      </c>
      <c r="C89" s="1">
        <v>3968</v>
      </c>
      <c r="D89" s="1">
        <v>0.39700000000000002</v>
      </c>
    </row>
    <row r="90" spans="1:4">
      <c r="A90" s="1" t="s">
        <v>13</v>
      </c>
      <c r="B90" s="1">
        <v>16</v>
      </c>
      <c r="C90" s="1">
        <v>3968</v>
      </c>
      <c r="D90" s="1">
        <v>0.39700000000000002</v>
      </c>
    </row>
    <row r="91" spans="1:4">
      <c r="A91" s="1" t="s">
        <v>13</v>
      </c>
      <c r="B91" s="1">
        <v>128</v>
      </c>
      <c r="C91" s="1">
        <v>3968</v>
      </c>
      <c r="D91" s="1">
        <v>0.39700000000000002</v>
      </c>
    </row>
    <row r="92" spans="1:4">
      <c r="A92" s="1" t="s">
        <v>12</v>
      </c>
      <c r="B92" s="1">
        <v>8</v>
      </c>
      <c r="C92" s="1">
        <v>110294</v>
      </c>
      <c r="D92" s="1">
        <v>11.029</v>
      </c>
    </row>
    <row r="93" spans="1:4">
      <c r="A93" s="1" t="s">
        <v>12</v>
      </c>
      <c r="B93" s="1">
        <v>64</v>
      </c>
      <c r="C93" s="1">
        <v>3717</v>
      </c>
      <c r="D93" s="1">
        <v>0.372</v>
      </c>
    </row>
    <row r="94" spans="1:4">
      <c r="A94" s="1" t="s">
        <v>12</v>
      </c>
      <c r="B94" s="1">
        <v>32</v>
      </c>
      <c r="C94" s="1">
        <v>4344</v>
      </c>
      <c r="D94" s="1">
        <v>0.434</v>
      </c>
    </row>
    <row r="95" spans="1:4">
      <c r="A95" s="1" t="s">
        <v>12</v>
      </c>
      <c r="B95" s="1">
        <v>16</v>
      </c>
      <c r="C95" s="1">
        <v>63487</v>
      </c>
      <c r="D95" s="1">
        <v>6.3490000000000002</v>
      </c>
    </row>
    <row r="96" spans="1:4">
      <c r="A96" s="1" t="s">
        <v>12</v>
      </c>
      <c r="B96" s="1">
        <v>128</v>
      </c>
      <c r="C96" s="1">
        <v>2882</v>
      </c>
      <c r="D96" s="1">
        <v>0.28799999999999998</v>
      </c>
    </row>
    <row r="97" spans="1:4">
      <c r="A97" s="1" t="s">
        <v>11</v>
      </c>
      <c r="B97" s="1">
        <v>8</v>
      </c>
      <c r="C97" s="1">
        <v>5119</v>
      </c>
      <c r="D97" s="1">
        <v>0.51200000000000001</v>
      </c>
    </row>
    <row r="98" spans="1:4">
      <c r="A98" s="1" t="s">
        <v>11</v>
      </c>
      <c r="B98" s="1">
        <v>64</v>
      </c>
      <c r="C98" s="1">
        <v>3757</v>
      </c>
      <c r="D98" s="1">
        <v>0.376</v>
      </c>
    </row>
    <row r="99" spans="1:4">
      <c r="A99" s="1" t="s">
        <v>11</v>
      </c>
      <c r="B99" s="1">
        <v>32</v>
      </c>
      <c r="C99" s="1">
        <v>4248</v>
      </c>
      <c r="D99" s="1">
        <v>0.42499999999999999</v>
      </c>
    </row>
    <row r="100" spans="1:4">
      <c r="A100" s="1" t="s">
        <v>11</v>
      </c>
      <c r="B100" s="1">
        <v>16</v>
      </c>
      <c r="C100" s="1">
        <v>4700</v>
      </c>
      <c r="D100" s="1">
        <v>0.47</v>
      </c>
    </row>
    <row r="101" spans="1:4">
      <c r="A101" s="1" t="s">
        <v>11</v>
      </c>
      <c r="B101" s="1">
        <v>128</v>
      </c>
      <c r="C101" s="1">
        <v>3103</v>
      </c>
      <c r="D101" s="1">
        <v>0.31</v>
      </c>
    </row>
    <row r="102" spans="1:4">
      <c r="A102" s="1" t="s">
        <v>10</v>
      </c>
      <c r="B102" s="1">
        <v>8</v>
      </c>
      <c r="C102" s="1">
        <v>22154</v>
      </c>
      <c r="D102" s="1">
        <v>2.2149999999999999</v>
      </c>
    </row>
    <row r="103" spans="1:4">
      <c r="A103" s="1" t="s">
        <v>10</v>
      </c>
      <c r="B103" s="1">
        <v>64</v>
      </c>
      <c r="C103" s="1">
        <v>22083</v>
      </c>
      <c r="D103" s="1">
        <v>2.2080000000000002</v>
      </c>
    </row>
    <row r="104" spans="1:4">
      <c r="A104" s="1" t="s">
        <v>10</v>
      </c>
      <c r="B104" s="1">
        <v>32</v>
      </c>
      <c r="C104" s="1">
        <v>22083</v>
      </c>
      <c r="D104" s="1">
        <v>2.2080000000000002</v>
      </c>
    </row>
    <row r="105" spans="1:4">
      <c r="A105" s="1" t="s">
        <v>10</v>
      </c>
      <c r="B105" s="1">
        <v>16</v>
      </c>
      <c r="C105" s="1">
        <v>22119</v>
      </c>
      <c r="D105" s="1">
        <v>2.2120000000000002</v>
      </c>
    </row>
    <row r="106" spans="1:4">
      <c r="A106" s="1" t="s">
        <v>10</v>
      </c>
      <c r="B106" s="1">
        <v>128</v>
      </c>
      <c r="C106" s="1">
        <v>22083</v>
      </c>
      <c r="D106" s="1">
        <v>2.2080000000000002</v>
      </c>
    </row>
    <row r="107" spans="1:4">
      <c r="A107" s="1" t="s">
        <v>9</v>
      </c>
      <c r="B107" s="1">
        <v>8</v>
      </c>
      <c r="C107" s="1">
        <v>111595</v>
      </c>
      <c r="D107" s="1">
        <v>11.159000000000001</v>
      </c>
    </row>
    <row r="108" spans="1:4">
      <c r="A108" s="1" t="s">
        <v>9</v>
      </c>
      <c r="B108" s="1">
        <v>64</v>
      </c>
      <c r="C108" s="1">
        <v>100313</v>
      </c>
      <c r="D108" s="1">
        <v>10.031000000000001</v>
      </c>
    </row>
    <row r="109" spans="1:4">
      <c r="A109" s="1" t="s">
        <v>9</v>
      </c>
      <c r="B109" s="1">
        <v>32</v>
      </c>
      <c r="C109" s="1">
        <v>107254</v>
      </c>
      <c r="D109" s="1">
        <v>10.725</v>
      </c>
    </row>
    <row r="110" spans="1:4">
      <c r="A110" s="1" t="s">
        <v>9</v>
      </c>
      <c r="B110" s="1">
        <v>16</v>
      </c>
      <c r="C110" s="1">
        <v>110372</v>
      </c>
      <c r="D110" s="1">
        <v>11.037000000000001</v>
      </c>
    </row>
    <row r="111" spans="1:4">
      <c r="A111" s="1" t="s">
        <v>9</v>
      </c>
      <c r="B111" s="1">
        <v>128</v>
      </c>
      <c r="C111" s="1">
        <v>93056</v>
      </c>
      <c r="D111" s="1">
        <v>9.3059999999999992</v>
      </c>
    </row>
    <row r="112" spans="1:4">
      <c r="A112" s="1" t="s">
        <v>8</v>
      </c>
      <c r="B112" s="1">
        <v>8</v>
      </c>
      <c r="C112" s="1">
        <v>37468</v>
      </c>
      <c r="D112" s="1">
        <v>3.7469999999999999</v>
      </c>
    </row>
    <row r="113" spans="1:4">
      <c r="A113" s="1" t="s">
        <v>8</v>
      </c>
      <c r="B113" s="1">
        <v>64</v>
      </c>
      <c r="C113" s="1">
        <v>3264</v>
      </c>
      <c r="D113" s="1">
        <v>0.32600000000000001</v>
      </c>
    </row>
    <row r="114" spans="1:4">
      <c r="A114" s="1" t="s">
        <v>8</v>
      </c>
      <c r="B114" s="1">
        <v>32</v>
      </c>
      <c r="C114" s="1">
        <v>11729</v>
      </c>
      <c r="D114" s="1">
        <v>1.173</v>
      </c>
    </row>
    <row r="115" spans="1:4">
      <c r="A115" s="1" t="s">
        <v>8</v>
      </c>
      <c r="B115" s="1">
        <v>16</v>
      </c>
      <c r="C115" s="1">
        <v>22185</v>
      </c>
      <c r="D115" s="1">
        <v>2.2189999999999999</v>
      </c>
    </row>
    <row r="116" spans="1:4">
      <c r="A116" s="1" t="s">
        <v>8</v>
      </c>
      <c r="B116" s="1">
        <v>128</v>
      </c>
      <c r="C116" s="1">
        <v>1184</v>
      </c>
      <c r="D116" s="1">
        <v>0.11799999999999999</v>
      </c>
    </row>
    <row r="117" spans="1:4">
      <c r="A117" s="1" t="s">
        <v>7</v>
      </c>
      <c r="B117" s="1">
        <v>8</v>
      </c>
      <c r="C117" s="1">
        <v>54928</v>
      </c>
      <c r="D117" s="1">
        <v>5.4930000000000003</v>
      </c>
    </row>
    <row r="118" spans="1:4">
      <c r="A118" s="1" t="s">
        <v>7</v>
      </c>
      <c r="B118" s="1">
        <v>64</v>
      </c>
      <c r="C118" s="1">
        <v>13260</v>
      </c>
      <c r="D118" s="1">
        <v>1.3260000000000001</v>
      </c>
    </row>
    <row r="119" spans="1:4">
      <c r="A119" s="1" t="s">
        <v>7</v>
      </c>
      <c r="B119" s="1">
        <v>32</v>
      </c>
      <c r="C119" s="1">
        <v>16065</v>
      </c>
      <c r="D119" s="1">
        <v>1.607</v>
      </c>
    </row>
    <row r="120" spans="1:4">
      <c r="A120" s="1" t="s">
        <v>7</v>
      </c>
      <c r="B120" s="1">
        <v>16</v>
      </c>
      <c r="C120" s="1">
        <v>25357</v>
      </c>
      <c r="D120" s="1">
        <v>2.536</v>
      </c>
    </row>
    <row r="121" spans="1:4">
      <c r="A121" s="1" t="s">
        <v>7</v>
      </c>
      <c r="B121" s="1">
        <v>128</v>
      </c>
      <c r="C121" s="1">
        <v>11697</v>
      </c>
      <c r="D121" s="1">
        <v>1.17</v>
      </c>
    </row>
    <row r="122" spans="1:4">
      <c r="A122" s="1" t="s">
        <v>6</v>
      </c>
      <c r="B122" s="1">
        <v>8</v>
      </c>
      <c r="C122" s="1">
        <v>24090</v>
      </c>
      <c r="D122" s="1">
        <v>2.4089999999999998</v>
      </c>
    </row>
    <row r="123" spans="1:4">
      <c r="A123" s="1" t="s">
        <v>6</v>
      </c>
      <c r="B123" s="1">
        <v>64</v>
      </c>
      <c r="C123" s="1">
        <v>21370</v>
      </c>
      <c r="D123" s="1">
        <v>2.137</v>
      </c>
    </row>
    <row r="124" spans="1:4">
      <c r="A124" s="1" t="s">
        <v>6</v>
      </c>
      <c r="B124" s="1">
        <v>32</v>
      </c>
      <c r="C124" s="1">
        <v>21639</v>
      </c>
      <c r="D124" s="1">
        <v>2.1640000000000001</v>
      </c>
    </row>
    <row r="125" spans="1:4">
      <c r="A125" s="1" t="s">
        <v>6</v>
      </c>
      <c r="B125" s="1">
        <v>16</v>
      </c>
      <c r="C125" s="1">
        <v>22320</v>
      </c>
      <c r="D125" s="1">
        <v>2.2320000000000002</v>
      </c>
    </row>
    <row r="126" spans="1:4">
      <c r="A126" s="1" t="s">
        <v>6</v>
      </c>
      <c r="B126" s="1">
        <v>128</v>
      </c>
      <c r="C126" s="1">
        <v>21333</v>
      </c>
      <c r="D126" s="1">
        <v>2.133</v>
      </c>
    </row>
    <row r="127" spans="1:4">
      <c r="A127" s="1" t="s">
        <v>5</v>
      </c>
      <c r="B127" s="1">
        <v>8</v>
      </c>
      <c r="C127" s="1">
        <v>23729</v>
      </c>
      <c r="D127" s="1">
        <v>2.3730000000000002</v>
      </c>
    </row>
    <row r="128" spans="1:4">
      <c r="A128" s="1" t="s">
        <v>5</v>
      </c>
      <c r="B128" s="1">
        <v>64</v>
      </c>
      <c r="C128" s="1">
        <v>15453</v>
      </c>
      <c r="D128" s="1">
        <v>1.5449999999999999</v>
      </c>
    </row>
    <row r="129" spans="1:4">
      <c r="A129" s="1" t="s">
        <v>5</v>
      </c>
      <c r="B129" s="1">
        <v>32</v>
      </c>
      <c r="C129" s="1">
        <v>18860</v>
      </c>
      <c r="D129" s="1">
        <v>1.8859999999999999</v>
      </c>
    </row>
    <row r="130" spans="1:4">
      <c r="A130" s="1" t="s">
        <v>5</v>
      </c>
      <c r="B130" s="1">
        <v>16</v>
      </c>
      <c r="C130" s="1">
        <v>21467</v>
      </c>
      <c r="D130" s="1">
        <v>2.1469999999999998</v>
      </c>
    </row>
    <row r="131" spans="1:4">
      <c r="A131" s="1" t="s">
        <v>5</v>
      </c>
      <c r="B131" s="1">
        <v>128</v>
      </c>
      <c r="C131" s="1">
        <v>4754</v>
      </c>
      <c r="D131" s="1">
        <v>0.47499999999999998</v>
      </c>
    </row>
    <row r="132" spans="1:4">
      <c r="A132" s="1" t="s">
        <v>4</v>
      </c>
      <c r="B132" s="1">
        <v>8</v>
      </c>
      <c r="C132" s="1">
        <v>1282</v>
      </c>
      <c r="D132" s="1">
        <v>0.128</v>
      </c>
    </row>
    <row r="133" spans="1:4">
      <c r="A133" s="1" t="s">
        <v>4</v>
      </c>
      <c r="B133" s="1">
        <v>64</v>
      </c>
      <c r="C133" s="1">
        <v>234</v>
      </c>
      <c r="D133" s="1">
        <v>2.3E-2</v>
      </c>
    </row>
    <row r="134" spans="1:4">
      <c r="A134" s="1" t="s">
        <v>4</v>
      </c>
      <c r="B134" s="1">
        <v>32</v>
      </c>
      <c r="C134" s="1">
        <v>235</v>
      </c>
      <c r="D134" s="1">
        <v>2.4E-2</v>
      </c>
    </row>
    <row r="135" spans="1:4">
      <c r="A135" s="1" t="s">
        <v>4</v>
      </c>
      <c r="B135" s="1">
        <v>16</v>
      </c>
      <c r="C135" s="1">
        <v>471</v>
      </c>
      <c r="D135" s="1">
        <v>4.7E-2</v>
      </c>
    </row>
    <row r="136" spans="1:4">
      <c r="A136" s="1" t="s">
        <v>4</v>
      </c>
      <c r="B136" s="1">
        <v>128</v>
      </c>
      <c r="C136" s="1">
        <v>234</v>
      </c>
      <c r="D136" s="1">
        <v>2.3E-2</v>
      </c>
    </row>
    <row r="137" spans="1:4">
      <c r="C137" s="5"/>
      <c r="D137" s="7"/>
    </row>
    <row r="138" spans="1:4">
      <c r="A138" t="s">
        <v>37</v>
      </c>
    </row>
    <row r="139" spans="1:4">
      <c r="A139">
        <v>8</v>
      </c>
      <c r="B139">
        <f>GEOMEAN(D2,D7,D12,D17,D22,D27,D32,D37,D42,D47,D52,D57,D62,D67,D72,D77,D82,D87,D92,D97,D102,D107,D112,D117,D122,D127,D132)</f>
        <v>1.790425710503089</v>
      </c>
    </row>
    <row r="140" spans="1:4">
      <c r="A140">
        <v>16</v>
      </c>
      <c r="B140">
        <f>GEOMEAN(D5,D10,D15,D20,D25,D30,D35,D40,D45,D50,D55,D60,D65,D70,D75,D80,D85,D90,D95,D100,D105,D110,D115,D120,D125,D130,D135)</f>
        <v>1.3460299985451158</v>
      </c>
    </row>
    <row r="141" spans="1:4">
      <c r="A141">
        <v>32</v>
      </c>
      <c r="B141">
        <f>GEOMEAN(D4,D9,D14,D19,D24,D29,D34,D39,D44,D49,D54,D59,D64,D69,D74,D79,D84,D89,D94,D99,D104,D109,D114,D119,D124,D129,D134)</f>
        <v>0.90517355766277907</v>
      </c>
    </row>
    <row r="142" spans="1:4">
      <c r="A142">
        <v>64</v>
      </c>
      <c r="B142">
        <f>GEOMEAN(D3,D8,D13,D18,D23,D28,D33,D38,D43,D48,D53,D58,D63,D68,D73,D78,D83,D88,D93,D98,D103,D108,D113,D118,D123,D128,D133)</f>
        <v>0.67097502969541967</v>
      </c>
    </row>
    <row r="143" spans="1:4">
      <c r="A143">
        <v>128</v>
      </c>
      <c r="B143">
        <f>GEOMEAN(D6,D11,D16,D21,D26,D31,D36,D143,D41,D46,D51,D56,D61,D66,D71,D76,D81,D86,D91,D96,D101,D106,D111,D116,D121,D126,D131,D136)</f>
        <v>0.52485533238221538</v>
      </c>
    </row>
  </sheetData>
  <pageMargins left="0" right="0" top="0.39370078740157483" bottom="0.39370078740157483" header="0" footer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Cache_assoc_results</vt:lpstr>
      <vt:lpstr>Cache_block_results</vt:lpstr>
      <vt:lpstr>Cache_replacement_results</vt:lpstr>
      <vt:lpstr>Cache_size_results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Jime González</cp:lastModifiedBy>
  <cp:revision>3</cp:revision>
  <dcterms:created xsi:type="dcterms:W3CDTF">2024-07-07T23:46:15Z</dcterms:created>
  <dcterms:modified xsi:type="dcterms:W3CDTF">2024-07-08T01:01:18Z</dcterms:modified>
</cp:coreProperties>
</file>